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zeta\"/>
    </mc:Choice>
  </mc:AlternateContent>
  <xr:revisionPtr revIDLastSave="0" documentId="13_ncr:1_{BFEF6F26-A0C0-4D57-A3AA-0C0FF41A32F5}" xr6:coauthVersionLast="47" xr6:coauthVersionMax="47" xr10:uidLastSave="{00000000-0000-0000-0000-000000000000}"/>
  <bookViews>
    <workbookView xWindow="-108" yWindow="-108" windowWidth="23256" windowHeight="12456" activeTab="2" xr2:uid="{B59E9B03-B0A0-4428-982D-35FD723D9E16}"/>
  </bookViews>
  <sheets>
    <sheet name="student_performance_datasheet" sheetId="1" r:id="rId1"/>
    <sheet name="pivot_tables" sheetId="2" r:id="rId2"/>
    <sheet name="EDA Dashbord" sheetId="6" r:id="rId3"/>
  </sheets>
  <definedNames>
    <definedName name="Slicer_extra_curricular">#N/A</definedName>
    <definedName name="Slicer_gender">#N/A</definedName>
    <definedName name="Slicer_grade_level">#N/A</definedName>
    <definedName name="Slicer_study_group">#N/A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<sst xmlns="http://schemas.openxmlformats.org/spreadsheetml/2006/main" count="307" uniqueCount="83">
  <si>
    <t>student_id</t>
  </si>
  <si>
    <t>math_score</t>
  </si>
  <si>
    <t>science_score</t>
  </si>
  <si>
    <t>english_score</t>
  </si>
  <si>
    <t>attendance_percent</t>
  </si>
  <si>
    <t>gender</t>
  </si>
  <si>
    <t>grade_level</t>
  </si>
  <si>
    <t>study_group</t>
  </si>
  <si>
    <t>extra_curricular</t>
  </si>
  <si>
    <t>S3001</t>
  </si>
  <si>
    <t>Male</t>
  </si>
  <si>
    <t>Grade 10</t>
  </si>
  <si>
    <t>Group A</t>
  </si>
  <si>
    <t>Sports</t>
  </si>
  <si>
    <t>S3002</t>
  </si>
  <si>
    <t>Female</t>
  </si>
  <si>
    <t>Grade 11</t>
  </si>
  <si>
    <t>Group B</t>
  </si>
  <si>
    <t>Music</t>
  </si>
  <si>
    <t>S3003</t>
  </si>
  <si>
    <t>Grade 12</t>
  </si>
  <si>
    <t>Group C</t>
  </si>
  <si>
    <t>Art</t>
  </si>
  <si>
    <t>S3004</t>
  </si>
  <si>
    <t>Grade 9</t>
  </si>
  <si>
    <t>S3005</t>
  </si>
  <si>
    <t>S3006</t>
  </si>
  <si>
    <t>S3007</t>
  </si>
  <si>
    <t>S3008</t>
  </si>
  <si>
    <t>None</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</si>
  <si>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</si>
  <si>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</si>
  <si>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</si>
  <si>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</si>
  <si>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</si>
  <si>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</si>
  <si>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</si>
  <si>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</si>
  <si>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</si>
  <si>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</si>
  <si>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</si>
  <si>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</si>
  <si>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</si>
  <si>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</si>
  <si>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</si>
  <si>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</si>
  <si>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</si>
  <si>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</si>
  <si>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</si>
  <si>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</si>
  <si>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</si>
  <si>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</si>
  <si>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</si>
  <si>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</si>
  <si>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</si>
  <si>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</si>
  <si>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</si>
  <si>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</si>
  <si>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</si>
  <si>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</si>
  <si>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</si>
  <si>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</si>
  <si>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</si>
  <si>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</si>
  <si>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</si>
  <si>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</si>
  <si>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</si>
  <si>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</si>
  <si>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</si>
  <si>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</si>
  <si>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</si>
  <si>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</si>
  <si>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Row Labels</t>
  </si>
  <si>
    <t>Grand Total</t>
  </si>
  <si>
    <t>student count</t>
  </si>
  <si>
    <t>Average of science_score</t>
  </si>
  <si>
    <t>Average of math_score</t>
  </si>
  <si>
    <t>Average of english_score</t>
  </si>
  <si>
    <t>Average of attendance_percent</t>
  </si>
  <si>
    <t>math score</t>
  </si>
  <si>
    <t>science score</t>
  </si>
  <si>
    <t>english score</t>
  </si>
  <si>
    <t>Average attendance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</si>
</sst>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lumMod val="85000"/>
                  </a:schemeClr>
                </a:solidFill>
              </a:rPr>
              <a:t>Avg.</a:t>
            </a:r>
            <a:r>
              <a:rPr lang="en-US" baseline="0">
                <a:solidFill>
                  <a:schemeClr val="bg1">
                    <a:lumMod val="85000"/>
                  </a:schemeClr>
                </a:solidFill>
              </a:rPr>
              <a:t> Attendence by Gender</a:t>
            </a:r>
            <a:endParaRPr lang="en-US">
              <a:solidFill>
                <a:schemeClr val="bg1">
                  <a:lumMod val="85000"/>
                </a:schemeClr>
              </a:solidFill>
            </a:endParaRPr>
          </a:p>
        </c:rich>
      </c:tx>
      <c:layout>
        <c:manualLayout>
          <c:xMode val="edge"/>
          <c:yMode val="edge"/>
          <c:x val="0.38104177602799649"/>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57007874015748"/>
          <c:y val="0.19330818022747157"/>
          <c:w val="0.45345953630796143"/>
          <c:h val="0.75576589384660242"/>
        </c:manualLayout>
      </c:layout>
      <c:pieChart>
        <c:varyColors val="1"/>
        <c:ser>
          <c:idx val="0"/>
          <c:order val="0"/>
          <c:tx>
            <c:strRef>
              <c:f>pivot_tables!$B$21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F699-4CD7-9C8A-87D0051E25B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pivot_tables!$A$22:$A$24</c:f>
              <c:strCache>
                <c:ptCount val="2"/>
                <c:pt idx="0">
                  <c:v>Female</c:v>
                </c:pt>
                <c:pt idx="1">
                  <c:v>Male</c:v>
                </c:pt>
              </c:strCache>
            </c:strRef>
          </c:cat>
          <c:val>
            <c:numRef>
              <c:f>pivot_tables!$B$22:$B$24</c:f>
              <c:numCache>
                <c:formatCode>0.00</c:formatCode>
                <c:ptCount val="2"/>
                <c:pt idx="0">
                  <c:v>88.287999999999997</c:v>
                </c:pt>
                <c:pt idx="1">
                  <c:v>95.631999999999977</c:v>
                </c:pt>
              </c:numCache>
            </c:numRef>
          </c:val>
          <c:extLst>
            <c:ext xmlns:c16="http://schemas.microsoft.com/office/drawing/2014/chart" uri="{C3380CC4-5D6E-409C-BE32-E72D297353CC}">
              <c16:uniqueId val="{00000000-F699-4CD7-9C8A-87D0051E25B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bg1">
                    <a:lumMod val="85000"/>
                  </a:schemeClr>
                </a:solidFill>
              </a:rPr>
              <a:t>Attendence</a:t>
            </a:r>
            <a:r>
              <a:rPr lang="en-IN" sz="2000" b="1" baseline="0">
                <a:solidFill>
                  <a:schemeClr val="bg1">
                    <a:lumMod val="85000"/>
                  </a:schemeClr>
                </a:solidFill>
              </a:rPr>
              <a:t> % by Grade Level</a:t>
            </a:r>
            <a:endParaRPr lang="en-IN" sz="2000" b="1">
              <a:solidFill>
                <a:schemeClr val="bg1">
                  <a:lumMod val="85000"/>
                </a:schemeClr>
              </a:solidFill>
            </a:endParaRPr>
          </a:p>
        </c:rich>
      </c:tx>
      <c:layout>
        <c:manualLayout>
          <c:xMode val="edge"/>
          <c:yMode val="edge"/>
          <c:x val="0.28444444444444444"/>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pivot_tables!$B$27</c:f>
              <c:strCache>
                <c:ptCount val="1"/>
                <c:pt idx="0">
                  <c:v>Total</c:v>
                </c:pt>
              </c:strCache>
            </c:strRef>
          </c:tx>
          <c:spPr>
            <a:solidFill>
              <a:schemeClr val="accent2"/>
            </a:solidFill>
            <a:ln>
              <a:noFill/>
            </a:ln>
            <a:effectLst/>
          </c:spPr>
          <c:invertIfNegative val="0"/>
          <c:cat>
            <c:strRef>
              <c:f>pivot_tables!$A$28:$A$32</c:f>
              <c:strCache>
                <c:ptCount val="4"/>
                <c:pt idx="0">
                  <c:v>Grade 10</c:v>
                </c:pt>
                <c:pt idx="1">
                  <c:v>Grade 11</c:v>
                </c:pt>
                <c:pt idx="2">
                  <c:v>Grade 12</c:v>
                </c:pt>
                <c:pt idx="3">
                  <c:v>Grade 9</c:v>
                </c:pt>
              </c:strCache>
            </c:strRef>
          </c:cat>
          <c:val>
            <c:numRef>
              <c:f>pivot_tables!$B$28:$B$32</c:f>
              <c:numCache>
                <c:formatCode>0.00</c:formatCode>
                <c:ptCount val="4"/>
                <c:pt idx="0">
                  <c:v>92.871428571428581</c:v>
                </c:pt>
                <c:pt idx="1">
                  <c:v>93.335714285714289</c:v>
                </c:pt>
                <c:pt idx="2">
                  <c:v>91.800000000000026</c:v>
                </c:pt>
                <c:pt idx="3">
                  <c:v>88.633333333333326</c:v>
                </c:pt>
              </c:numCache>
            </c:numRef>
          </c:val>
          <c:extLst>
            <c:ext xmlns:c16="http://schemas.microsoft.com/office/drawing/2014/chart" uri="{C3380CC4-5D6E-409C-BE32-E72D297353CC}">
              <c16:uniqueId val="{00000000-726B-4028-AF75-A44EBA3ECDDF}"/>
            </c:ext>
          </c:extLst>
        </c:ser>
        <c:dLbls>
          <c:showLegendKey val="0"/>
          <c:showVal val="0"/>
          <c:showCatName val="0"/>
          <c:showSerName val="0"/>
          <c:showPercent val="0"/>
          <c:showBubbleSize val="0"/>
        </c:dLbls>
        <c:gapWidth val="150"/>
        <c:overlap val="100"/>
        <c:axId val="1261215744"/>
        <c:axId val="1410526224"/>
      </c:barChart>
      <c:catAx>
        <c:axId val="126121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26224"/>
        <c:crosses val="autoZero"/>
        <c:auto val="1"/>
        <c:lblAlgn val="ctr"/>
        <c:lblOffset val="100"/>
        <c:noMultiLvlLbl val="0"/>
      </c:catAx>
      <c:valAx>
        <c:axId val="1410526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1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[student_performance_exploratory_data_analysis_Dashboard.xlsx]pivot_tables!PivotTable8</c:name>
    <c:fmtId val="4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pivot_tables!$B$35</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pivot_tables!$A$36:$A$40</c:f>
              <c:strCache>
                <c:ptCount val="4"/>
                <c:pt idx="0">
                  <c:v>Art</c:v>
                </c:pt>
                <c:pt idx="1">
                  <c:v>Music</c:v>
                </c:pt>
                <c:pt idx="2">
                  <c:v>None</c:v>
                </c:pt>
                <c:pt idx="3">
                  <c:v>Sports</c:v>
                </c:pt>
              </c:strCache>
            </c:strRef>
          </c:cat>
          <c:val>
            <c:numRef>
              <c:f>pivot_tables!$B$36:$B$40</c:f>
              <c:numCache>
                <c:formatCode>0.00</c:formatCode>
                <c:ptCount val="4"/>
                <c:pt idx="0">
                  <c:v>91.957142857142841</c:v>
                </c:pt>
                <c:pt idx="1">
                  <c:v>91.921428571428592</c:v>
                </c:pt>
                <c:pt idx="2">
                  <c:v>87.149999999999991</c:v>
                </c:pt>
                <c:pt idx="3">
                  <c:v>93.799999999999983</c:v>
                </c:pt>
              </c:numCache>
            </c:numRef>
          </c:val>
          <c:extLst>
            <c:ext xmlns:c16="http://schemas.microsoft.com/office/drawing/2014/chart" uri="{C3380CC4-5D6E-409C-BE32-E72D297353CC}">
              <c16:uniqueId val="{00000000-B507-4A0A-8BA2-9F83DA5100CA}"/>
            </c:ext>
          </c:extLst>
        </c:ser>
        <c:dLbls>
          <c:dLblPos val="inEnd"/>
          <c:showLegendKey val="0"/>
          <c:showVal val="1"/>
          <c:showCatName val="0"/>
          <c:showSerName val="0"/>
          <c:showPercent val="0"/>
          <c:showBubbleSize val="0"/>
        </c:dLbls>
        <c:gapWidth val="65"/>
        <c:axId val="1261370256"/>
        <c:axId val="1410534384"/>
      </c:barChart>
      <c:catAx>
        <c:axId val="1261370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0534384"/>
        <c:crosses val="autoZero"/>
        <c:auto val="1"/>
        <c:lblAlgn val="ctr"/>
        <c:lblOffset val="100"/>
        <c:noMultiLvlLbl val="0"/>
      </c:catAx>
      <c:valAx>
        <c:axId val="14105343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13702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[student_performance_exploratory_data_analysis_Dashboard.xlsx]pivot_tables!PivotTable10</c:name>
    <c:fmtId val="5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pivot_tables!$B$52</c:f>
              <c:strCache>
                <c:ptCount val="1"/>
                <c:pt idx="0">
                  <c:v>math score</c:v>
                </c:pt>
              </c:strCache>
            </c:strRef>
          </c:tx>
          <c:spPr>
            <a:solidFill>
              <a:schemeClr val="accent1"/>
            </a:solidFill>
            <a:ln>
              <a:noFill/>
            </a:ln>
            <a:effectLst/>
          </c:spPr>
          <c:invertIfNegative val="0"/>
          <c:cat>
            <c:strRef>
              <c:f>pivot_tables!$A$53:$A$57</c:f>
              <c:strCache>
                <c:ptCount val="4"/>
                <c:pt idx="0">
                  <c:v>Grade 10</c:v>
                </c:pt>
                <c:pt idx="1">
                  <c:v>Grade 11</c:v>
                </c:pt>
                <c:pt idx="2">
                  <c:v>Grade 12</c:v>
                </c:pt>
                <c:pt idx="3">
                  <c:v>Grade 9</c:v>
                </c:pt>
              </c:strCache>
            </c:strRef>
          </c:cat>
          <c:val>
            <c:numRef>
              <c:f>pivot_tables!$B$53:$B$57</c:f>
              <c:numCache>
                <c:formatCode>General</c:formatCode>
                <c:ptCount val="4"/>
                <c:pt idx="0">
                  <c:v>90</c:v>
                </c:pt>
                <c:pt idx="1">
                  <c:v>90.5</c:v>
                </c:pt>
                <c:pt idx="2">
                  <c:v>90.384615384615387</c:v>
                </c:pt>
                <c:pt idx="3">
                  <c:v>86.888888888888886</c:v>
                </c:pt>
              </c:numCache>
            </c:numRef>
          </c:val>
          <c:extLst>
            <c:ext xmlns:c16="http://schemas.microsoft.com/office/drawing/2014/chart" uri="{C3380CC4-5D6E-409C-BE32-E72D297353CC}">
              <c16:uniqueId val="{00000000-FFD4-4FE4-9A86-12F97F0AE891}"/>
            </c:ext>
          </c:extLst>
        </c:ser>
        <c:ser>
          <c:idx val="1"/>
          <c:order val="1"/>
          <c:tx>
            <c:strRef>
              <c:f>pivot_tables!$C$52</c:f>
              <c:strCache>
                <c:ptCount val="1"/>
                <c:pt idx="0">
                  <c:v>science score</c:v>
                </c:pt>
              </c:strCache>
            </c:strRef>
          </c:tx>
          <c:spPr>
            <a:solidFill>
              <a:schemeClr val="accent2"/>
            </a:solidFill>
            <a:ln>
              <a:noFill/>
            </a:ln>
            <a:effectLst/>
          </c:spPr>
          <c:invertIfNegative val="0"/>
          <c:cat>
            <c:strRef>
              <c:f>pivot_tables!$A$53:$A$57</c:f>
              <c:strCache>
                <c:ptCount val="4"/>
                <c:pt idx="0">
                  <c:v>Grade 10</c:v>
                </c:pt>
                <c:pt idx="1">
                  <c:v>Grade 11</c:v>
                </c:pt>
                <c:pt idx="2">
                  <c:v>Grade 12</c:v>
                </c:pt>
                <c:pt idx="3">
                  <c:v>Grade 9</c:v>
                </c:pt>
              </c:strCache>
            </c:strRef>
          </c:cat>
          <c:val>
            <c:numRef>
              <c:f>pivot_tables!$C$53:$C$57</c:f>
              <c:numCache>
                <c:formatCode>General</c:formatCode>
                <c:ptCount val="4"/>
                <c:pt idx="0">
                  <c:v>90.571428571428569</c:v>
                </c:pt>
                <c:pt idx="1">
                  <c:v>90.142857142857139</c:v>
                </c:pt>
                <c:pt idx="2">
                  <c:v>88.84615384615384</c:v>
                </c:pt>
                <c:pt idx="3">
                  <c:v>87.444444444444443</c:v>
                </c:pt>
              </c:numCache>
            </c:numRef>
          </c:val>
          <c:extLst>
            <c:ext xmlns:c16="http://schemas.microsoft.com/office/drawing/2014/chart" uri="{C3380CC4-5D6E-409C-BE32-E72D297353CC}">
              <c16:uniqueId val="{00000001-FFD4-4FE4-9A86-12F97F0AE891}"/>
            </c:ext>
          </c:extLst>
        </c:ser>
        <c:ser>
          <c:idx val="2"/>
          <c:order val="2"/>
          <c:tx>
            <c:strRef>
              <c:f>pivot_tables!$D$52</c:f>
              <c:strCache>
                <c:ptCount val="1"/>
                <c:pt idx="0">
                  <c:v>english score</c:v>
                </c:pt>
              </c:strCache>
            </c:strRef>
          </c:tx>
          <c:spPr>
            <a:solidFill>
              <a:schemeClr val="accent3"/>
            </a:solidFill>
            <a:ln>
              <a:noFill/>
            </a:ln>
            <a:effectLst/>
          </c:spPr>
          <c:invertIfNegative val="0"/>
          <c:cat>
            <c:strRef>
              <c:f>pivot_tables!$A$53:$A$57</c:f>
              <c:strCache>
                <c:ptCount val="4"/>
                <c:pt idx="0">
                  <c:v>Grade 10</c:v>
                </c:pt>
                <c:pt idx="1">
                  <c:v>Grade 11</c:v>
                </c:pt>
                <c:pt idx="2">
                  <c:v>Grade 12</c:v>
                </c:pt>
                <c:pt idx="3">
                  <c:v>Grade 9</c:v>
                </c:pt>
              </c:strCache>
            </c:strRef>
          </c:cat>
          <c:val>
            <c:numRef>
              <c:f>pivot_tables!$D$53:$D$57</c:f>
              <c:numCache>
                <c:formatCode>General</c:formatCode>
                <c:ptCount val="4"/>
                <c:pt idx="0">
                  <c:v>88.857142857142861</c:v>
                </c:pt>
                <c:pt idx="1">
                  <c:v>90.714285714285708</c:v>
                </c:pt>
                <c:pt idx="2">
                  <c:v>88.769230769230774</c:v>
                </c:pt>
                <c:pt idx="3">
                  <c:v>87.888888888888886</c:v>
                </c:pt>
              </c:numCache>
            </c:numRef>
          </c:val>
          <c:extLst>
            <c:ext xmlns:c16="http://schemas.microsoft.com/office/drawing/2014/chart" uri="{C3380CC4-5D6E-409C-BE32-E72D297353CC}">
              <c16:uniqueId val="{00000002-FFD4-4FE4-9A86-12F97F0AE891}"/>
            </c:ext>
          </c:extLst>
        </c:ser>
        <c:dLbls>
          <c:showLegendKey val="0"/>
          <c:showVal val="0"/>
          <c:showCatName val="0"/>
          <c:showSerName val="0"/>
          <c:showPercent val="0"/>
          <c:showBubbleSize val="0"/>
        </c:dLbls>
        <c:gapWidth val="219"/>
        <c:overlap val="-27"/>
        <c:axId val="1261219456"/>
        <c:axId val="1410541104"/>
      </c:barChart>
      <c:catAx>
        <c:axId val="12612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41104"/>
        <c:crosses val="autoZero"/>
        <c:auto val="1"/>
        <c:lblAlgn val="ctr"/>
        <c:lblOffset val="100"/>
        <c:noMultiLvlLbl val="0"/>
      </c:catAx>
      <c:valAx>
        <c:axId val="141054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1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[student_performance_exploratory_data_analysis_Dashboard.xlsx]pivot_tables!PivotTable11</c:name>
    <c:fmtId val="5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pivot_tables!$B$65</c:f>
              <c:strCache>
                <c:ptCount val="1"/>
                <c:pt idx="0">
                  <c:v>math score</c:v>
                </c:pt>
              </c:strCache>
            </c:strRef>
          </c:tx>
          <c:spPr>
            <a:solidFill>
              <a:schemeClr val="accent1"/>
            </a:solidFill>
            <a:ln>
              <a:noFill/>
            </a:ln>
            <a:effectLst/>
          </c:spPr>
          <c:invertIfNegative val="0"/>
          <c:cat>
            <c:strRef>
              <c:f>pivot_tables!$A$66:$A$68</c:f>
              <c:strCache>
                <c:ptCount val="2"/>
                <c:pt idx="0">
                  <c:v>Female</c:v>
                </c:pt>
                <c:pt idx="1">
                  <c:v>Male</c:v>
                </c:pt>
              </c:strCache>
            </c:strRef>
          </c:cat>
          <c:val>
            <c:numRef>
              <c:f>pivot_tables!$B$66:$B$68</c:f>
              <c:numCache>
                <c:formatCode>General</c:formatCode>
                <c:ptCount val="2"/>
                <c:pt idx="0">
                  <c:v>85.48</c:v>
                </c:pt>
                <c:pt idx="1">
                  <c:v>93.88</c:v>
                </c:pt>
              </c:numCache>
            </c:numRef>
          </c:val>
          <c:extLst>
            <c:ext xmlns:c16="http://schemas.microsoft.com/office/drawing/2014/chart" uri="{C3380CC4-5D6E-409C-BE32-E72D297353CC}">
              <c16:uniqueId val="{00000000-37CA-427B-83F8-26C620C0AD57}"/>
            </c:ext>
          </c:extLst>
        </c:ser>
        <c:ser>
          <c:idx val="1"/>
          <c:order val="1"/>
          <c:tx>
            <c:strRef>
              <c:f>pivot_tables!$C$65</c:f>
              <c:strCache>
                <c:ptCount val="1"/>
                <c:pt idx="0">
                  <c:v>science score</c:v>
                </c:pt>
              </c:strCache>
            </c:strRef>
          </c:tx>
          <c:spPr>
            <a:solidFill>
              <a:schemeClr val="accent2"/>
            </a:solidFill>
            <a:ln>
              <a:noFill/>
            </a:ln>
            <a:effectLst/>
          </c:spPr>
          <c:invertIfNegative val="0"/>
          <c:cat>
            <c:strRef>
              <c:f>pivot_tables!$A$66:$A$68</c:f>
              <c:strCache>
                <c:ptCount val="2"/>
                <c:pt idx="0">
                  <c:v>Female</c:v>
                </c:pt>
                <c:pt idx="1">
                  <c:v>Male</c:v>
                </c:pt>
              </c:strCache>
            </c:strRef>
          </c:cat>
          <c:val>
            <c:numRef>
              <c:f>pivot_tables!$C$66:$C$68</c:f>
              <c:numCache>
                <c:formatCode>General</c:formatCode>
                <c:ptCount val="2"/>
                <c:pt idx="0">
                  <c:v>87.08</c:v>
                </c:pt>
                <c:pt idx="1">
                  <c:v>91.8</c:v>
                </c:pt>
              </c:numCache>
            </c:numRef>
          </c:val>
          <c:extLst>
            <c:ext xmlns:c16="http://schemas.microsoft.com/office/drawing/2014/chart" uri="{C3380CC4-5D6E-409C-BE32-E72D297353CC}">
              <c16:uniqueId val="{00000001-37CA-427B-83F8-26C620C0AD57}"/>
            </c:ext>
          </c:extLst>
        </c:ser>
        <c:dLbls>
          <c:showLegendKey val="0"/>
          <c:showVal val="0"/>
          <c:showCatName val="0"/>
          <c:showSerName val="0"/>
          <c:showPercent val="0"/>
          <c:showBubbleSize val="0"/>
        </c:dLbls>
        <c:gapWidth val="219"/>
        <c:overlap val="-27"/>
        <c:axId val="1491429920"/>
        <c:axId val="1383937360"/>
      </c:barChart>
      <c:lineChart>
        <c:grouping val="standard"/>
        <c:varyColors val="0"/>
        <c:ser>
          <c:idx val="2"/>
          <c:order val="2"/>
          <c:tx>
            <c:strRef>
              <c:f>pivot_tables!$D$65</c:f>
              <c:strCache>
                <c:ptCount val="1"/>
                <c:pt idx="0">
                  <c:v>english score</c:v>
                </c:pt>
              </c:strCache>
            </c:strRef>
          </c:tx>
          <c:spPr>
            <a:ln w="28575" cap="rnd">
              <a:solidFill>
                <a:schemeClr val="accent3"/>
              </a:solidFill>
              <a:round/>
            </a:ln>
            <a:effectLst/>
          </c:spPr>
          <c:marker>
            <c:symbol val="none"/>
          </c:marker>
          <c:cat>
            <c:strRef>
              <c:f>pivot_tables!$A$66:$A$68</c:f>
              <c:strCache>
                <c:ptCount val="2"/>
                <c:pt idx="0">
                  <c:v>Female</c:v>
                </c:pt>
                <c:pt idx="1">
                  <c:v>Male</c:v>
                </c:pt>
              </c:strCache>
            </c:strRef>
          </c:cat>
          <c:val>
            <c:numRef>
              <c:f>pivot_tables!$D$66:$D$68</c:f>
              <c:numCache>
                <c:formatCode>General</c:formatCode>
                <c:ptCount val="2"/>
                <c:pt idx="0">
                  <c:v>86.96</c:v>
                </c:pt>
                <c:pt idx="1">
                  <c:v>91.4</c:v>
                </c:pt>
              </c:numCache>
            </c:numRef>
          </c:val>
          <c:smooth val="0"/>
          <c:extLst>
            <c:ext xmlns:c16="http://schemas.microsoft.com/office/drawing/2014/chart" uri="{C3380CC4-5D6E-409C-BE32-E72D297353CC}">
              <c16:uniqueId val="{00000002-37CA-427B-83F8-26C620C0AD57}"/>
            </c:ext>
          </c:extLst>
        </c:ser>
        <c:ser>
          <c:idx val="3"/>
          <c:order val="3"/>
          <c:tx>
            <c:strRef>
              <c:f>pivot_tables!$E$65</c:f>
              <c:strCache>
                <c:ptCount val="1"/>
                <c:pt idx="0">
                  <c:v>Average attendance %</c:v>
                </c:pt>
              </c:strCache>
            </c:strRef>
          </c:tx>
          <c:spPr>
            <a:ln w="28575" cap="rnd">
              <a:solidFill>
                <a:schemeClr val="accent4"/>
              </a:solidFill>
              <a:round/>
            </a:ln>
            <a:effectLst/>
          </c:spPr>
          <c:marker>
            <c:symbol val="none"/>
          </c:marker>
          <c:cat>
            <c:strRef>
              <c:f>pivot_tables!$A$66:$A$68</c:f>
              <c:strCache>
                <c:ptCount val="2"/>
                <c:pt idx="0">
                  <c:v>Female</c:v>
                </c:pt>
                <c:pt idx="1">
                  <c:v>Male</c:v>
                </c:pt>
              </c:strCache>
            </c:strRef>
          </c:cat>
          <c:val>
            <c:numRef>
              <c:f>pivot_tables!$E$66:$E$68</c:f>
              <c:numCache>
                <c:formatCode>General</c:formatCode>
                <c:ptCount val="2"/>
                <c:pt idx="0">
                  <c:v>88.287999999999997</c:v>
                </c:pt>
                <c:pt idx="1">
                  <c:v>95.631999999999977</c:v>
                </c:pt>
              </c:numCache>
            </c:numRef>
          </c:val>
          <c:smooth val="0"/>
          <c:extLst>
            <c:ext xmlns:c16="http://schemas.microsoft.com/office/drawing/2014/chart" uri="{C3380CC4-5D6E-409C-BE32-E72D297353CC}">
              <c16:uniqueId val="{00000003-37CA-427B-83F8-26C620C0AD57}"/>
            </c:ext>
          </c:extLst>
        </c:ser>
        <c:dLbls>
          <c:showLegendKey val="0"/>
          <c:showVal val="0"/>
          <c:showCatName val="0"/>
          <c:showSerName val="0"/>
          <c:showPercent val="0"/>
          <c:showBubbleSize val="0"/>
        </c:dLbls>
        <c:marker val="1"/>
        <c:smooth val="0"/>
        <c:axId val="1491441984"/>
        <c:axId val="1383903760"/>
      </c:lineChart>
      <c:catAx>
        <c:axId val="149142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37360"/>
        <c:crosses val="autoZero"/>
        <c:auto val="1"/>
        <c:lblAlgn val="ctr"/>
        <c:lblOffset val="100"/>
        <c:noMultiLvlLbl val="0"/>
      </c:catAx>
      <c:valAx>
        <c:axId val="138393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429920"/>
        <c:crosses val="autoZero"/>
        <c:crossBetween val="between"/>
      </c:valAx>
      <c:valAx>
        <c:axId val="1383903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441984"/>
        <c:crosses val="max"/>
        <c:crossBetween val="between"/>
      </c:valAx>
      <c:catAx>
        <c:axId val="1491441984"/>
        <c:scaling>
          <c:orientation val="minMax"/>
        </c:scaling>
        <c:delete val="1"/>
        <c:axPos val="b"/>
        <c:numFmt formatCode="General" sourceLinked="1"/>
        <c:majorTickMark val="out"/>
        <c:minorTickMark val="none"/>
        <c:tickLblPos val="nextTo"/>
        <c:crossAx val="138390376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[student_performance_exploratory_data_analysis_Dashboard.xlsx]pivot_tables!PivotTable9</c:name>
    <c:fmtId val="5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pivot_tables!$B$43</c:f>
              <c:strCache>
                <c:ptCount val="1"/>
                <c:pt idx="0">
                  <c:v>Total</c:v>
                </c:pt>
              </c:strCache>
            </c:strRef>
          </c:tx>
          <c:spPr>
            <a:ln w="28575" cap="rnd">
              <a:solidFill>
                <a:schemeClr val="accent1"/>
              </a:solidFill>
              <a:round/>
            </a:ln>
            <a:effectLst/>
          </c:spPr>
          <c:marker>
            <c:symbol val="none"/>
          </c:marker>
          <c:cat>
            <c:strRef>
              <c:f>pivot_tables!$A$44:$A$48</c:f>
              <c:strCache>
                <c:ptCount val="4"/>
                <c:pt idx="0">
                  <c:v>Art</c:v>
                </c:pt>
                <c:pt idx="1">
                  <c:v>Music</c:v>
                </c:pt>
                <c:pt idx="2">
                  <c:v>None</c:v>
                </c:pt>
                <c:pt idx="3">
                  <c:v>Sports</c:v>
                </c:pt>
              </c:strCache>
            </c:strRef>
          </c:cat>
          <c:val>
            <c:numRef>
              <c:f>pivot_tables!$B$44:$B$48</c:f>
              <c:numCache>
                <c:formatCode>0.00</c:formatCode>
                <c:ptCount val="4"/>
                <c:pt idx="0">
                  <c:v>91.957142857142841</c:v>
                </c:pt>
                <c:pt idx="1">
                  <c:v>91.921428571428592</c:v>
                </c:pt>
                <c:pt idx="2">
                  <c:v>87.149999999999991</c:v>
                </c:pt>
                <c:pt idx="3">
                  <c:v>93.799999999999983</c:v>
                </c:pt>
              </c:numCache>
            </c:numRef>
          </c:val>
          <c:extLst>
            <c:ext xmlns:c16="http://schemas.microsoft.com/office/drawing/2014/chart" uri="{C3380CC4-5D6E-409C-BE32-E72D297353CC}">
              <c16:uniqueId val="{00000000-84BD-45E4-B761-4D5BB0362B60}"/>
            </c:ext>
          </c:extLst>
        </c:ser>
        <c:dLbls>
          <c:showLegendKey val="0"/>
          <c:showVal val="0"/>
          <c:showCatName val="0"/>
          <c:showSerName val="0"/>
          <c:showPercent val="0"/>
          <c:showBubbleSize val="0"/>
        </c:dLbls>
        <c:axId val="1491436416"/>
        <c:axId val="1383931600"/>
      </c:radarChart>
      <c:catAx>
        <c:axId val="149143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31600"/>
        <c:crosses val="autoZero"/>
        <c:auto val="1"/>
        <c:lblAlgn val="ctr"/>
        <c:lblOffset val="100"/>
        <c:noMultiLvlLbl val="0"/>
      </c:catAx>
      <c:valAx>
        <c:axId val="1383931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43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[student_performance_exploratory_data_analysis_Dashboard.xlsx]pivot_tables!PivotTable6</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lumMod val="85000"/>
                  </a:schemeClr>
                </a:solidFill>
              </a:rPr>
              <a:t>Avg.</a:t>
            </a:r>
            <a:r>
              <a:rPr lang="en-US" baseline="0">
                <a:solidFill>
                  <a:schemeClr val="bg1">
                    <a:lumMod val="85000"/>
                  </a:schemeClr>
                </a:solidFill>
              </a:rPr>
              <a:t> Attendence by Gender</a:t>
            </a:r>
            <a:endParaRPr lang="en-US">
              <a:solidFill>
                <a:schemeClr val="bg1">
                  <a:lumMod val="85000"/>
                </a:schemeClr>
              </a:solidFill>
            </a:endParaRPr>
          </a:p>
        </c:rich>
      </c:tx>
      <c:layout>
        <c:manualLayout>
          <c:xMode val="edge"/>
          <c:yMode val="edge"/>
          <c:x val="0.38104177602799649"/>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57007874015748"/>
          <c:y val="0.19330818022747157"/>
          <c:w val="0.45345953630796143"/>
          <c:h val="0.75576589384660242"/>
        </c:manualLayout>
      </c:layout>
      <c:pieChart>
        <c:varyColors val="1"/>
        <c:ser>
          <c:idx val="0"/>
          <c:order val="0"/>
          <c:tx>
            <c:strRef>
              <c:f>pivot_tables!$B$21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EE9-4699-870C-5A62254090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EE9-4699-870C-5A62254090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pivot_tables!$A$22:$A$24</c:f>
              <c:strCache>
                <c:ptCount val="2"/>
                <c:pt idx="0">
                  <c:v>Female</c:v>
                </c:pt>
                <c:pt idx="1">
                  <c:v>Male</c:v>
                </c:pt>
              </c:strCache>
            </c:strRef>
          </c:cat>
          <c:val>
            <c:numRef>
              <c:f>pivot_tables!$B$22:$B$24</c:f>
              <c:numCache>
                <c:formatCode>0.00</c:formatCode>
                <c:ptCount val="2"/>
                <c:pt idx="0">
                  <c:v>88.287999999999997</c:v>
                </c:pt>
                <c:pt idx="1">
                  <c:v>95.631999999999977</c:v>
                </c:pt>
              </c:numCache>
            </c:numRef>
          </c:val>
          <c:extLst>
            <c:ext xmlns:c16="http://schemas.microsoft.com/office/drawing/2014/chart" uri="{C3380CC4-5D6E-409C-BE32-E72D297353CC}">
              <c16:uniqueId val="{00000004-EEE9-4699-870C-5A622540905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[student_performance_exploratory_data_analysis_Dashboard.xlsx]pivot_tables!PivotTable7</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bg1">
                    <a:lumMod val="85000"/>
                  </a:schemeClr>
                </a:solidFill>
              </a:rPr>
              <a:t>Attendence</a:t>
            </a:r>
            <a:r>
              <a:rPr lang="en-IN" sz="2000" b="1" baseline="0">
                <a:solidFill>
                  <a:schemeClr val="bg1">
                    <a:lumMod val="85000"/>
                  </a:schemeClr>
                </a:solidFill>
              </a:rPr>
              <a:t> % by Grade Level</a:t>
            </a:r>
            <a:endParaRPr lang="en-IN" sz="2000" b="1">
              <a:solidFill>
                <a:schemeClr val="bg1">
                  <a:lumMod val="85000"/>
                </a:schemeClr>
              </a:solidFill>
            </a:endParaRPr>
          </a:p>
        </c:rich>
      </c:tx>
      <c:layout>
        <c:manualLayout>
          <c:xMode val="edge"/>
          <c:yMode val="edge"/>
          <c:x val="0.28444444444444444"/>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pivot_tables!$B$27</c:f>
              <c:strCache>
                <c:ptCount val="1"/>
                <c:pt idx="0">
                  <c:v>Total</c:v>
                </c:pt>
              </c:strCache>
            </c:strRef>
          </c:tx>
          <c:spPr>
            <a:solidFill>
              <a:schemeClr val="accent2"/>
            </a:solidFill>
            <a:ln>
              <a:noFill/>
            </a:ln>
            <a:effectLst/>
          </c:spPr>
          <c:invertIfNegative val="0"/>
          <c:cat>
            <c:strRef>
              <c:f>pivot_tables!$A$28:$A$32</c:f>
              <c:strCache>
                <c:ptCount val="4"/>
                <c:pt idx="0">
                  <c:v>Grade 10</c:v>
                </c:pt>
                <c:pt idx="1">
                  <c:v>Grade 11</c:v>
                </c:pt>
                <c:pt idx="2">
                  <c:v>Grade 12</c:v>
                </c:pt>
                <c:pt idx="3">
                  <c:v>Grade 9</c:v>
                </c:pt>
              </c:strCache>
            </c:strRef>
          </c:cat>
          <c:val>
            <c:numRef>
              <c:f>pivot_tables!$B$28:$B$32</c:f>
              <c:numCache>
                <c:formatCode>0.00</c:formatCode>
                <c:ptCount val="4"/>
                <c:pt idx="0">
                  <c:v>92.871428571428581</c:v>
                </c:pt>
                <c:pt idx="1">
                  <c:v>93.335714285714289</c:v>
                </c:pt>
                <c:pt idx="2">
                  <c:v>91.800000000000026</c:v>
                </c:pt>
                <c:pt idx="3">
                  <c:v>88.633333333333326</c:v>
                </c:pt>
              </c:numCache>
            </c:numRef>
          </c:val>
          <c:extLst>
            <c:ext xmlns:c16="http://schemas.microsoft.com/office/drawing/2014/chart" uri="{C3380CC4-5D6E-409C-BE32-E72D297353CC}">
              <c16:uniqueId val="{00000000-3C02-4B44-B03D-BE1AB83A7B76}"/>
            </c:ext>
          </c:extLst>
        </c:ser>
        <c:dLbls>
          <c:showLegendKey val="0"/>
          <c:showVal val="0"/>
          <c:showCatName val="0"/>
          <c:showSerName val="0"/>
          <c:showPercent val="0"/>
          <c:showBubbleSize val="0"/>
        </c:dLbls>
        <c:gapWidth val="150"/>
        <c:overlap val="100"/>
        <c:axId val="1261215744"/>
        <c:axId val="1410526224"/>
      </c:barChart>
      <c:catAx>
        <c:axId val="126121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26224"/>
        <c:crosses val="autoZero"/>
        <c:auto val="1"/>
        <c:lblAlgn val="ctr"/>
        <c:lblOffset val="100"/>
        <c:noMultiLvlLbl val="0"/>
      </c:catAx>
      <c:valAx>
        <c:axId val="1410526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1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[student_performance_exploratory_data_analysis_Dashboard.xlsx]pivot_tables!PivotTable10</c:name>
    <c:fmtId val="5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pivot_tables!$B$52</c:f>
              <c:strCache>
                <c:ptCount val="1"/>
                <c:pt idx="0">
                  <c:v>math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pivot_tables!$A$53:$A$57</c:f>
              <c:strCache>
                <c:ptCount val="4"/>
                <c:pt idx="0">
                  <c:v>Grade 10</c:v>
                </c:pt>
                <c:pt idx="1">
                  <c:v>Grade 11</c:v>
                </c:pt>
                <c:pt idx="2">
                  <c:v>Grade 12</c:v>
                </c:pt>
                <c:pt idx="3">
                  <c:v>Grade 9</c:v>
                </c:pt>
              </c:strCache>
            </c:strRef>
          </c:cat>
          <c:val>
            <c:numRef>
              <c:f>pivot_tables!$B$53:$B$57</c:f>
              <c:numCache>
                <c:formatCode>General</c:formatCode>
                <c:ptCount val="4"/>
                <c:pt idx="0">
                  <c:v>90</c:v>
                </c:pt>
                <c:pt idx="1">
                  <c:v>90.5</c:v>
                </c:pt>
                <c:pt idx="2">
                  <c:v>90.384615384615387</c:v>
                </c:pt>
                <c:pt idx="3">
                  <c:v>86.888888888888886</c:v>
                </c:pt>
              </c:numCache>
            </c:numRef>
          </c:val>
          <c:extLst>
            <c:ext xmlns:c16="http://schemas.microsoft.com/office/drawing/2014/chart" uri="{C3380CC4-5D6E-409C-BE32-E72D297353CC}">
              <c16:uniqueId val="{00000000-9D41-49E9-96D0-71C009E07C79}"/>
            </c:ext>
          </c:extLst>
        </c:ser>
        <c:ser>
          <c:idx val="1"/>
          <c:order val="1"/>
          <c:tx>
            <c:strRef>
              <c:f>pivot_tables!$C$52</c:f>
              <c:strCache>
                <c:ptCount val="1"/>
                <c:pt idx="0">
                  <c:v>science score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pivot_tables!$A$53:$A$57</c:f>
              <c:strCache>
                <c:ptCount val="4"/>
                <c:pt idx="0">
                  <c:v>Grade 10</c:v>
                </c:pt>
                <c:pt idx="1">
                  <c:v>Grade 11</c:v>
                </c:pt>
                <c:pt idx="2">
                  <c:v>Grade 12</c:v>
                </c:pt>
                <c:pt idx="3">
                  <c:v>Grade 9</c:v>
                </c:pt>
              </c:strCache>
            </c:strRef>
          </c:cat>
          <c:val>
            <c:numRef>
              <c:f>pivot_tables!$C$53:$C$57</c:f>
              <c:numCache>
                <c:formatCode>General</c:formatCode>
                <c:ptCount val="4"/>
                <c:pt idx="0">
                  <c:v>90.571428571428569</c:v>
                </c:pt>
                <c:pt idx="1">
                  <c:v>90.142857142857139</c:v>
                </c:pt>
                <c:pt idx="2">
                  <c:v>88.84615384615384</c:v>
                </c:pt>
                <c:pt idx="3">
                  <c:v>87.444444444444443</c:v>
                </c:pt>
              </c:numCache>
            </c:numRef>
          </c:val>
          <c:extLst>
            <c:ext xmlns:c16="http://schemas.microsoft.com/office/drawing/2014/chart" uri="{C3380CC4-5D6E-409C-BE32-E72D297353CC}">
              <c16:uniqueId val="{00000001-9D41-49E9-96D0-71C009E07C79}"/>
            </c:ext>
          </c:extLst>
        </c:ser>
        <c:ser>
          <c:idx val="2"/>
          <c:order val="2"/>
          <c:tx>
            <c:strRef>
              <c:f>pivot_tables!$D$52</c:f>
              <c:strCache>
                <c:ptCount val="1"/>
                <c:pt idx="0">
                  <c:v>english score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pivot_tables!$A$53:$A$57</c:f>
              <c:strCache>
                <c:ptCount val="4"/>
                <c:pt idx="0">
                  <c:v>Grade 10</c:v>
                </c:pt>
                <c:pt idx="1">
                  <c:v>Grade 11</c:v>
                </c:pt>
                <c:pt idx="2">
                  <c:v>Grade 12</c:v>
                </c:pt>
                <c:pt idx="3">
                  <c:v>Grade 9</c:v>
                </c:pt>
              </c:strCache>
            </c:strRef>
          </c:cat>
          <c:val>
            <c:numRef>
              <c:f>pivot_tables!$D$53:$D$57</c:f>
              <c:numCache>
                <c:formatCode>General</c:formatCode>
                <c:ptCount val="4"/>
                <c:pt idx="0">
                  <c:v>88.857142857142861</c:v>
                </c:pt>
                <c:pt idx="1">
                  <c:v>90.714285714285708</c:v>
                </c:pt>
                <c:pt idx="2">
                  <c:v>88.769230769230774</c:v>
                </c:pt>
                <c:pt idx="3">
                  <c:v>87.888888888888886</c:v>
                </c:pt>
              </c:numCache>
            </c:numRef>
          </c:val>
          <c:extLst>
            <c:ext xmlns:c16="http://schemas.microsoft.com/office/drawing/2014/chart" uri="{C3380CC4-5D6E-409C-BE32-E72D297353CC}">
              <c16:uniqueId val="{00000002-9D41-49E9-96D0-71C009E07C79}"/>
            </c:ext>
          </c:extLst>
        </c:ser>
        <c:dLbls>
          <c:showLegendKey val="0"/>
          <c:showVal val="0"/>
          <c:showCatName val="0"/>
          <c:showSerName val="0"/>
          <c:showPercent val="0"/>
          <c:showBubbleSize val="0"/>
        </c:dLbls>
        <c:gapWidth val="100"/>
        <c:overlap val="-24"/>
        <c:axId val="1261219456"/>
        <c:axId val="1410541104"/>
      </c:barChart>
      <c:catAx>
        <c:axId val="12612194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41104"/>
        <c:crosses val="autoZero"/>
        <c:auto val="1"/>
        <c:lblAlgn val="ctr"/>
        <c:lblOffset val="100"/>
        <c:noMultiLvlLbl val="0"/>
      </c:catAx>
      <c:valAx>
        <c:axId val="141054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1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[student_performance_exploratory_data_analysis_Dashboard.xlsx]pivot_tables!PivotTable11</c:name>
    <c:fmtId val="6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pivot_tables!$B$65</c:f>
              <c:strCache>
                <c:ptCount val="1"/>
                <c:pt idx="0">
                  <c:v>math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pivot_tables!$A$66:$A$68</c:f>
              <c:strCache>
                <c:ptCount val="2"/>
                <c:pt idx="0">
                  <c:v>Female</c:v>
                </c:pt>
                <c:pt idx="1">
                  <c:v>Male</c:v>
                </c:pt>
              </c:strCache>
            </c:strRef>
          </c:cat>
          <c:val>
            <c:numRef>
              <c:f>pivot_tables!$B$66:$B$68</c:f>
              <c:numCache>
                <c:formatCode>General</c:formatCode>
                <c:ptCount val="2"/>
                <c:pt idx="0">
                  <c:v>85.48</c:v>
                </c:pt>
                <c:pt idx="1">
                  <c:v>93.88</c:v>
                </c:pt>
              </c:numCache>
            </c:numRef>
          </c:val>
          <c:extLst>
            <c:ext xmlns:c16="http://schemas.microsoft.com/office/drawing/2014/chart" uri="{C3380CC4-5D6E-409C-BE32-E72D297353CC}">
              <c16:uniqueId val="{00000000-AEDD-4B4B-9459-BF68D403F9A8}"/>
            </c:ext>
          </c:extLst>
        </c:ser>
        <c:ser>
          <c:idx val="1"/>
          <c:order val="1"/>
          <c:tx>
            <c:strRef>
              <c:f>pivot_tables!$C$65</c:f>
              <c:strCache>
                <c:ptCount val="1"/>
                <c:pt idx="0">
                  <c:v>science score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pivot_tables!$A$66:$A$68</c:f>
              <c:strCache>
                <c:ptCount val="2"/>
                <c:pt idx="0">
                  <c:v>Female</c:v>
                </c:pt>
                <c:pt idx="1">
                  <c:v>Male</c:v>
                </c:pt>
              </c:strCache>
            </c:strRef>
          </c:cat>
          <c:val>
            <c:numRef>
              <c:f>pivot_tables!$C$66:$C$68</c:f>
              <c:numCache>
                <c:formatCode>General</c:formatCode>
                <c:ptCount val="2"/>
                <c:pt idx="0">
                  <c:v>87.08</c:v>
                </c:pt>
                <c:pt idx="1">
                  <c:v>91.8</c:v>
                </c:pt>
              </c:numCache>
            </c:numRef>
          </c:val>
          <c:extLst>
            <c:ext xmlns:c16="http://schemas.microsoft.com/office/drawing/2014/chart" uri="{C3380CC4-5D6E-409C-BE32-E72D297353CC}">
              <c16:uniqueId val="{00000001-AEDD-4B4B-9459-BF68D403F9A8}"/>
            </c:ext>
          </c:extLst>
        </c:ser>
        <c:dLbls>
          <c:showLegendKey val="0"/>
          <c:showVal val="0"/>
          <c:showCatName val="0"/>
          <c:showSerName val="0"/>
          <c:showPercent val="0"/>
          <c:showBubbleSize val="0"/>
        </c:dLbls>
        <c:gapWidth val="219"/>
        <c:overlap val="-27"/>
        <c:axId val="1491429920"/>
        <c:axId val="1383937360"/>
      </c:barChart>
      <c:lineChart>
        <c:grouping val="standard"/>
        <c:varyColors val="0"/>
        <c:ser>
          <c:idx val="2"/>
          <c:order val="2"/>
          <c:tx>
            <c:strRef>
              <c:f>pivot_tables!$D$65</c:f>
              <c:strCache>
                <c:ptCount val="1"/>
                <c:pt idx="0">
                  <c:v>english score</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pivot_tables!$A$66:$A$68</c:f>
              <c:strCache>
                <c:ptCount val="2"/>
                <c:pt idx="0">
                  <c:v>Female</c:v>
                </c:pt>
                <c:pt idx="1">
                  <c:v>Male</c:v>
                </c:pt>
              </c:strCache>
            </c:strRef>
          </c:cat>
          <c:val>
            <c:numRef>
              <c:f>pivot_tables!$D$66:$D$68</c:f>
              <c:numCache>
                <c:formatCode>General</c:formatCode>
                <c:ptCount val="2"/>
                <c:pt idx="0">
                  <c:v>86.96</c:v>
                </c:pt>
                <c:pt idx="1">
                  <c:v>91.4</c:v>
                </c:pt>
              </c:numCache>
            </c:numRef>
          </c:val>
          <c:smooth val="0"/>
          <c:extLst>
            <c:ext xmlns:c16="http://schemas.microsoft.com/office/drawing/2014/chart" uri="{C3380CC4-5D6E-409C-BE32-E72D297353CC}">
              <c16:uniqueId val="{00000002-AEDD-4B4B-9459-BF68D403F9A8}"/>
            </c:ext>
          </c:extLst>
        </c:ser>
        <c:ser>
          <c:idx val="3"/>
          <c:order val="3"/>
          <c:tx>
            <c:strRef>
              <c:f>pivot_tables!$E$65</c:f>
              <c:strCache>
                <c:ptCount val="1"/>
                <c:pt idx="0">
                  <c:v>Average attendance %</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pivot_tables!$A$66:$A$68</c:f>
              <c:strCache>
                <c:ptCount val="2"/>
                <c:pt idx="0">
                  <c:v>Female</c:v>
                </c:pt>
                <c:pt idx="1">
                  <c:v>Male</c:v>
                </c:pt>
              </c:strCache>
            </c:strRef>
          </c:cat>
          <c:val>
            <c:numRef>
              <c:f>pivot_tables!$E$66:$E$68</c:f>
              <c:numCache>
                <c:formatCode>General</c:formatCode>
                <c:ptCount val="2"/>
                <c:pt idx="0">
                  <c:v>88.287999999999997</c:v>
                </c:pt>
                <c:pt idx="1">
                  <c:v>95.631999999999977</c:v>
                </c:pt>
              </c:numCache>
            </c:numRef>
          </c:val>
          <c:smooth val="0"/>
          <c:extLst>
            <c:ext xmlns:c16="http://schemas.microsoft.com/office/drawing/2014/chart" uri="{C3380CC4-5D6E-409C-BE32-E72D297353CC}">
              <c16:uniqueId val="{00000003-AEDD-4B4B-9459-BF68D403F9A8}"/>
            </c:ext>
          </c:extLst>
        </c:ser>
        <c:dLbls>
          <c:showLegendKey val="0"/>
          <c:showVal val="0"/>
          <c:showCatName val="0"/>
          <c:showSerName val="0"/>
          <c:showPercent val="0"/>
          <c:showBubbleSize val="0"/>
        </c:dLbls>
        <c:marker val="1"/>
        <c:smooth val="0"/>
        <c:axId val="1491441984"/>
        <c:axId val="1383903760"/>
      </c:lineChart>
      <c:catAx>
        <c:axId val="1491429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937360"/>
        <c:crosses val="autoZero"/>
        <c:auto val="1"/>
        <c:lblAlgn val="ctr"/>
        <c:lblOffset val="100"/>
        <c:noMultiLvlLbl val="0"/>
      </c:catAx>
      <c:valAx>
        <c:axId val="1383937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429920"/>
        <c:crosses val="autoZero"/>
        <c:crossBetween val="between"/>
      </c:valAx>
      <c:valAx>
        <c:axId val="13839037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441984"/>
        <c:crosses val="max"/>
        <c:crossBetween val="between"/>
      </c:valAx>
      <c:catAx>
        <c:axId val="1491441984"/>
        <c:scaling>
          <c:orientation val="minMax"/>
        </c:scaling>
        <c:delete val="1"/>
        <c:axPos val="b"/>
        <c:numFmt formatCode="General" sourceLinked="1"/>
        <c:majorTickMark val="none"/>
        <c:minorTickMark val="none"/>
        <c:tickLblPos val="nextTo"/>
        <c:crossAx val="1383903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[student_performance_exploratory_data_analysis_Dashboard.xlsx]pivot_tables!PivotTable8</c:name>
    <c:fmtId val="5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pivot_tables!$B$35</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pivot_tables!$A$36:$A$40</c:f>
              <c:strCache>
                <c:ptCount val="4"/>
                <c:pt idx="0">
                  <c:v>Art</c:v>
                </c:pt>
                <c:pt idx="1">
                  <c:v>Music</c:v>
                </c:pt>
                <c:pt idx="2">
                  <c:v>None</c:v>
                </c:pt>
                <c:pt idx="3">
                  <c:v>Sports</c:v>
                </c:pt>
              </c:strCache>
            </c:strRef>
          </c:cat>
          <c:val>
            <c:numRef>
              <c:f>pivot_tables!$B$36:$B$40</c:f>
              <c:numCache>
                <c:formatCode>0.00</c:formatCode>
                <c:ptCount val="4"/>
                <c:pt idx="0">
                  <c:v>91.957142857142841</c:v>
                </c:pt>
                <c:pt idx="1">
                  <c:v>91.921428571428592</c:v>
                </c:pt>
                <c:pt idx="2">
                  <c:v>87.149999999999991</c:v>
                </c:pt>
                <c:pt idx="3">
                  <c:v>93.799999999999983</c:v>
                </c:pt>
              </c:numCache>
            </c:numRef>
          </c:val>
          <c:extLst>
            <c:ext xmlns:c16="http://schemas.microsoft.com/office/drawing/2014/chart" uri="{C3380CC4-5D6E-409C-BE32-E72D297353CC}">
              <c16:uniqueId val="{00000000-28EE-4699-AC72-71A4B0135596}"/>
            </c:ext>
          </c:extLst>
        </c:ser>
        <c:dLbls>
          <c:dLblPos val="inEnd"/>
          <c:showLegendKey val="0"/>
          <c:showVal val="1"/>
          <c:showCatName val="0"/>
          <c:showSerName val="0"/>
          <c:showPercent val="0"/>
          <c:showBubbleSize val="0"/>
        </c:dLbls>
        <c:gapWidth val="65"/>
        <c:axId val="1261370256"/>
        <c:axId val="1410534384"/>
      </c:barChart>
      <c:catAx>
        <c:axId val="1261370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0534384"/>
        <c:crosses val="autoZero"/>
        <c:auto val="1"/>
        <c:lblAlgn val="ctr"/>
        <c:lblOffset val="100"/>
        <c:noMultiLvlLbl val="0"/>
      </c:catAx>
      <c:valAx>
        <c:axId val="14105343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13702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[student_performance_exploratory_data_analysis_Dashboard.xlsx]pivot_tables!PivotTable9</c:name>
    <c:fmtId val="5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pivot_tables!$B$43</c:f>
              <c:strCache>
                <c:ptCount val="1"/>
                <c:pt idx="0">
                  <c:v>Total</c:v>
                </c:pt>
              </c:strCache>
            </c:strRef>
          </c:tx>
          <c:spPr>
            <a:ln w="28575" cap="rnd">
              <a:solidFill>
                <a:schemeClr val="accent2"/>
              </a:solidFill>
              <a:round/>
            </a:ln>
            <a:effectLst/>
          </c:spPr>
          <c:marker>
            <c:symbol val="none"/>
          </c:marker>
          <c:cat>
            <c:strRef>
              <c:f>pivot_tables!$A$44:$A$48</c:f>
              <c:strCache>
                <c:ptCount val="4"/>
                <c:pt idx="0">
                  <c:v>Art</c:v>
                </c:pt>
                <c:pt idx="1">
                  <c:v>Music</c:v>
                </c:pt>
                <c:pt idx="2">
                  <c:v>None</c:v>
                </c:pt>
                <c:pt idx="3">
                  <c:v>Sports</c:v>
                </c:pt>
              </c:strCache>
            </c:strRef>
          </c:cat>
          <c:val>
            <c:numRef>
              <c:f>pivot_tables!$B$44:$B$48</c:f>
              <c:numCache>
                <c:formatCode>0.00</c:formatCode>
                <c:ptCount val="4"/>
                <c:pt idx="0">
                  <c:v>91.957142857142841</c:v>
                </c:pt>
                <c:pt idx="1">
                  <c:v>91.921428571428592</c:v>
                </c:pt>
                <c:pt idx="2">
                  <c:v>87.149999999999991</c:v>
                </c:pt>
                <c:pt idx="3">
                  <c:v>93.799999999999983</c:v>
                </c:pt>
              </c:numCache>
            </c:numRef>
          </c:val>
          <c:extLst>
            <c:ext xmlns:c16="http://schemas.microsoft.com/office/drawing/2014/chart" uri="{C3380CC4-5D6E-409C-BE32-E72D297353CC}">
              <c16:uniqueId val="{00000000-4065-4BBD-BEA7-B41A33247432}"/>
            </c:ext>
          </c:extLst>
        </c:ser>
        <c:dLbls>
          <c:showLegendKey val="0"/>
          <c:showVal val="0"/>
          <c:showCatName val="0"/>
          <c:showSerName val="0"/>
          <c:showPercent val="0"/>
          <c:showBubbleSize val="0"/>
        </c:dLbls>
        <c:axId val="1491436416"/>
        <c:axId val="1383931600"/>
      </c:radarChart>
      <c:catAx>
        <c:axId val="149143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31600"/>
        <c:crosses val="autoZero"/>
        <c:auto val="1"/>
        <c:lblAlgn val="ctr"/>
        <c:lblOffset val="100"/>
        <c:noMultiLvlLbl val="0"/>
      </c:catAx>
      <c:valAx>
        <c:axId val="1383931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43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8</xdr:col>
      <xdr:colOff>182880</xdr:colOff>
      <xdr:row>25</xdr:row>
      <xdr:rowOff>30481</xdr:rowOff>
    </xdr:from>
    <xdr:to>
      <xdr:col>11</xdr:col>
      <xdr:colOff>182880</xdr:colOff>
      <xdr:row>30</xdr:row>
      <xdr:rowOff>60961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9F2A64D1-0B96-9B48-5C5E-50B95315F1E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875228" y="4723959"/>
              <a:ext cx="1822174" cy="969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16</xdr:row>
      <xdr:rowOff>83821</xdr:rowOff>
    </xdr:from>
    <xdr:to>
      <xdr:col>11</xdr:col>
      <xdr:colOff>213360</xdr:colOff>
      <xdr:row>24</xdr:row>
      <xdr:rowOff>83821</xdr:rowOff>
    </xdr:to>
    <mc:AlternateContent xmlns:mc="http://schemas.openxmlformats.org/markup-compatibility/2006">
      <mc:Choice xmlns:a14="http://schemas.microsoft.com/office/drawing/2010/main" Requires="a14">
        <xdr:graphicFrame macro="">
          <xdr:nvGraphicFramePr>
            <xdr:cNvPr id="3" name="grade_level">
              <a:extLst>
                <a:ext uri="{FF2B5EF4-FFF2-40B4-BE49-F238E27FC236}">
                  <a16:creationId xmlns:a16="http://schemas.microsoft.com/office/drawing/2014/main" id="{D97CDCD9-C9A5-A9E6-0FCC-A4B42158A0AE}"/>
                </a:ext>
              </a:extLst>
            </xdr:cNvPr>
            <xdr:cNvGraphicFramePr/>
          </xdr:nvGraphicFramePr>
          <xdr:xfrm>
            <a:off x="0" y="0"/>
            <a:ext cx="0" cy="0"/>
          </xdr:xfrm>
          <a:graphic>
            <a:graphicData uri="http://schemas.microsoft.com/office/drawing/2010/slicer">
              <sle:slicer xmlns:sle="http://schemas.microsoft.com/office/drawing/2010/slicer" name="grade_level"/>
            </a:graphicData>
          </a:graphic>
        </xdr:graphicFrame>
      </mc:Choice>
      <mc:Fallback>
        <xdr:sp macro="" textlink="">
          <xdr:nvSpPr>
            <xdr:cNvPr id="0" name=""/>
            <xdr:cNvSpPr>
              <a:spLocks noTextEdit="1"/>
            </xdr:cNvSpPr>
          </xdr:nvSpPr>
          <xdr:spPr>
            <a:xfrm>
              <a:off x="6905708" y="3087647"/>
              <a:ext cx="1822174" cy="1501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198120</xdr:colOff>
      <xdr:row>8</xdr:row>
      <xdr:rowOff>175261</xdr:rowOff>
    </xdr:from>
    <xdr:to>
      <xdr:col>11</xdr:col>
      <xdr:colOff>198120</xdr:colOff>
      <xdr:row>15</xdr:row>
      <xdr:rowOff>129541</xdr:rowOff>
    </xdr:to>
    <mc:AlternateContent xmlns:mc="http://schemas.openxmlformats.org/markup-compatibility/2006">
      <mc:Choice xmlns:a14="http://schemas.microsoft.com/office/drawing/2010/main" Requires="a14">
        <xdr:graphicFrame macro="">
          <xdr:nvGraphicFramePr>
            <xdr:cNvPr id="4" name="study_group">
              <a:extLst>
                <a:ext uri="{FF2B5EF4-FFF2-40B4-BE49-F238E27FC236}">
                  <a16:creationId xmlns:a16="http://schemas.microsoft.com/office/drawing/2014/main" id="{2F6CAFDF-8C7F-B267-54FD-D36068EADE18}"/>
                </a:ext>
              </a:extLst>
            </xdr:cNvPr>
            <xdr:cNvGraphicFramePr/>
          </xdr:nvGraphicFramePr>
          <xdr:xfrm>
            <a:off x="0" y="0"/>
            <a:ext cx="0" cy="0"/>
          </xdr:xfrm>
          <a:graphic>
            <a:graphicData uri="http://schemas.microsoft.com/office/drawing/2010/slicer">
              <sle:slicer xmlns:sle="http://schemas.microsoft.com/office/drawing/2010/slicer" name="study_group"/>
            </a:graphicData>
          </a:graphic>
        </xdr:graphicFrame>
      </mc:Choice>
      <mc:Fallback>
        <xdr:sp macro="" textlink="">
          <xdr:nvSpPr>
            <xdr:cNvPr id="0" name=""/>
            <xdr:cNvSpPr>
              <a:spLocks noTextEdit="1"/>
            </xdr:cNvSpPr>
          </xdr:nvSpPr>
          <xdr:spPr>
            <a:xfrm>
              <a:off x="6890468" y="1677174"/>
              <a:ext cx="1822174" cy="1268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0</xdr:row>
      <xdr:rowOff>15241</xdr:rowOff>
    </xdr:from>
    <xdr:to>
      <xdr:col>11</xdr:col>
      <xdr:colOff>213360</xdr:colOff>
      <xdr:row>8</xdr:row>
      <xdr:rowOff>53341</xdr:rowOff>
    </xdr:to>
    <mc:AlternateContent xmlns:mc="http://schemas.openxmlformats.org/markup-compatibility/2006">
      <mc:Choice xmlns:a14="http://schemas.microsoft.com/office/drawing/2010/main" Requires="a14">
        <xdr:graphicFrame macro="">
          <xdr:nvGraphicFramePr>
            <xdr:cNvPr id="5" name="extra_curricular">
              <a:extLst>
                <a:ext uri="{FF2B5EF4-FFF2-40B4-BE49-F238E27FC236}">
                  <a16:creationId xmlns:a16="http://schemas.microsoft.com/office/drawing/2014/main" id="{48E7A9BB-0E67-88B8-81EF-F0AA658F9036}"/>
                </a:ext>
              </a:extLst>
            </xdr:cNvPr>
            <xdr:cNvGraphicFramePr/>
          </xdr:nvGraphicFramePr>
          <xdr:xfrm>
            <a:off x="0" y="0"/>
            <a:ext cx="0" cy="0"/>
          </xdr:xfrm>
          <a:graphic>
            <a:graphicData uri="http://schemas.microsoft.com/office/drawing/2010/slicer">
              <sle:slicer xmlns:sle="http://schemas.microsoft.com/office/drawing/2010/slicer" name="extra_curricular"/>
            </a:graphicData>
          </a:graphic>
        </xdr:graphicFrame>
      </mc:Choice>
      <mc:Fallback>
        <xdr:sp macro="" textlink="">
          <xdr:nvSpPr>
            <xdr:cNvPr id="0" name=""/>
            <xdr:cNvSpPr>
              <a:spLocks noTextEdit="1"/>
            </xdr:cNvSpPr>
          </xdr:nvSpPr>
          <xdr:spPr>
            <a:xfrm>
              <a:off x="6905708" y="15241"/>
              <a:ext cx="1822174" cy="1540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328083</xdr:colOff>
      <xdr:row>0</xdr:row>
      <xdr:rowOff>0</xdr:rowOff>
    </xdr:from>
    <xdr:to>
      <xdr:col>18</xdr:col>
      <xdr:colOff>603250</xdr:colOff>
      <xdr:row>15</xdr:row>
      <xdr:rowOff>44450</xdr:rowOff>
    </xdr:to>
    <xdr:graphicFrame macro="">
      <xdr:nvGraphicFramePr>
        <xdr:cNvPr id="6" name="Chart 5">
          <a:extLst>
            <a:ext uri="{FF2B5EF4-FFF2-40B4-BE49-F238E27FC236}">
              <a16:creationId xmlns:a16="http://schemas.microsoft.com/office/drawing/2014/main" id="{7C82B282-0E84-CB4A-B47A-BB3EDA2B4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592666</xdr:colOff>
      <xdr:row>19</xdr:row>
      <xdr:rowOff>110067</xdr:rowOff>
    </xdr:from>
    <xdr:to>
      <xdr:col>19</xdr:col>
      <xdr:colOff>254000</xdr:colOff>
      <xdr:row>34</xdr:row>
      <xdr:rowOff>154517</xdr:rowOff>
    </xdr:to>
    <xdr:graphicFrame macro="">
      <xdr:nvGraphicFramePr>
        <xdr:cNvPr id="7" name="Chart 6">
          <a:extLst>
            <a:ext uri="{FF2B5EF4-FFF2-40B4-BE49-F238E27FC236}">
              <a16:creationId xmlns:a16="http://schemas.microsoft.com/office/drawing/2014/main" id="{791CFA54-32BE-F782-1E22-27F68965F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507999</xdr:colOff>
      <xdr:row>36</xdr:row>
      <xdr:rowOff>46566</xdr:rowOff>
    </xdr:from>
    <xdr:to>
      <xdr:col>19</xdr:col>
      <xdr:colOff>169333</xdr:colOff>
      <xdr:row>51</xdr:row>
      <xdr:rowOff>91016</xdr:rowOff>
    </xdr:to>
    <xdr:graphicFrame macro="">
      <xdr:nvGraphicFramePr>
        <xdr:cNvPr id="8" name="Chart 7">
          <a:extLst>
            <a:ext uri="{FF2B5EF4-FFF2-40B4-BE49-F238E27FC236}">
              <a16:creationId xmlns:a16="http://schemas.microsoft.com/office/drawing/2014/main" id="{A99A6393-67E4-37BE-931E-173B814B5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613833</xdr:colOff>
      <xdr:row>47</xdr:row>
      <xdr:rowOff>4234</xdr:rowOff>
    </xdr:from>
    <xdr:to>
      <xdr:col>11</xdr:col>
      <xdr:colOff>201083</xdr:colOff>
      <xdr:row>62</xdr:row>
      <xdr:rowOff>48684</xdr:rowOff>
    </xdr:to>
    <xdr:graphicFrame macro="">
      <xdr:nvGraphicFramePr>
        <xdr:cNvPr id="9" name="Chart 8">
          <a:extLst>
            <a:ext uri="{FF2B5EF4-FFF2-40B4-BE49-F238E27FC236}">
              <a16:creationId xmlns:a16="http://schemas.microsoft.com/office/drawing/2014/main" id="{6AFBD8CD-A3A9-65DD-647F-7CC1B31EE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592667</xdr:colOff>
      <xdr:row>53</xdr:row>
      <xdr:rowOff>46567</xdr:rowOff>
    </xdr:from>
    <xdr:to>
      <xdr:col>19</xdr:col>
      <xdr:colOff>254000</xdr:colOff>
      <xdr:row>68</xdr:row>
      <xdr:rowOff>91017</xdr:rowOff>
    </xdr:to>
    <xdr:graphicFrame macro="">
      <xdr:nvGraphicFramePr>
        <xdr:cNvPr id="10" name="Chart 9">
          <a:extLst>
            <a:ext uri="{FF2B5EF4-FFF2-40B4-BE49-F238E27FC236}">
              <a16:creationId xmlns:a16="http://schemas.microsoft.com/office/drawing/2014/main" id="{11A14F8B-E739-8DFE-D75F-F234794A1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596348</xdr:colOff>
      <xdr:row>31</xdr:row>
      <xdr:rowOff>53009</xdr:rowOff>
    </xdr:from>
    <xdr:to>
      <xdr:col>11</xdr:col>
      <xdr:colOff>132522</xdr:colOff>
      <xdr:row>45</xdr:row>
      <xdr:rowOff>167861</xdr:rowOff>
    </xdr:to>
    <xdr:graphicFrame macro="">
      <xdr:nvGraphicFramePr>
        <xdr:cNvPr id="11" name="Chart 10">
          <a:extLst>
            <a:ext uri="{FF2B5EF4-FFF2-40B4-BE49-F238E27FC236}">
              <a16:creationId xmlns:a16="http://schemas.microsoft.com/office/drawing/2014/main" id="{C79CC3D0-3799-A31F-5EAE-99BF7368A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305130</xdr:colOff>
      <xdr:row>1</xdr:row>
      <xdr:rowOff>22529</xdr:rowOff>
    </xdr:from>
    <xdr:to>
      <xdr:col>22</xdr:col>
      <xdr:colOff>607390</xdr:colOff>
      <xdr:row>5</xdr:row>
      <xdr:rowOff>22529</xdr:rowOff>
    </xdr:to>
    <xdr:sp macro="" textlink="">
      <xdr:nvSpPr>
        <xdr:cNvPr id="2" name="Rectangle: Rounded Corners 1">
          <a:extLst>
            <a:ext uri="{FF2B5EF4-FFF2-40B4-BE49-F238E27FC236}">
              <a16:creationId xmlns:a16="http://schemas.microsoft.com/office/drawing/2014/main" id="{3849211B-9F8F-7798-5017-D264F6D598F5}"/>
            </a:ext>
          </a:extLst>
        </xdr:cNvPr>
        <xdr:cNvSpPr/>
      </xdr:nvSpPr>
      <xdr:spPr>
        <a:xfrm>
          <a:off x="305130" y="210268"/>
          <a:ext cx="13664869" cy="75095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Student</a:t>
          </a:r>
          <a:r>
            <a:rPr lang="en-IN" sz="3200" baseline="0"/>
            <a:t> Performance - Exploratory Data Analysis Dashboard </a:t>
          </a:r>
          <a:endParaRPr lang="en-IN" sz="3200"/>
        </a:p>
      </xdr:txBody>
    </xdr:sp>
    <xdr:clientData/>
  </xdr:twoCellAnchor>
  <xdr:twoCellAnchor editAs="oneCell">
    <xdr:from>
      <xdr:col>2</xdr:col>
      <xdr:colOff>238538</xdr:colOff>
      <xdr:row>1</xdr:row>
      <xdr:rowOff>118828</xdr:rowOff>
    </xdr:from>
    <xdr:to>
      <xdr:col>3</xdr:col>
      <xdr:colOff>284258</xdr:colOff>
      <xdr:row>4</xdr:row>
      <xdr:rowOff>145265</xdr:rowOff>
    </xdr:to>
    <xdr:pic>
      <xdr:nvPicPr>
        <xdr:cNvPr id="6" name="Graphic 5" descr="Podium with solid fill">
          <a:extLst>
            <a:ext uri="{FF2B5EF4-FFF2-40B4-BE49-F238E27FC236}">
              <a16:creationId xmlns:a16="http://schemas.microsoft.com/office/drawing/2014/main" id="{BE1A136B-5C97-DCB9-0D84-6696721C1E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53321" y="306567"/>
          <a:ext cx="653111" cy="589655"/>
        </a:xfrm>
        <a:prstGeom prst="rect">
          <a:avLst/>
        </a:prstGeom>
      </xdr:spPr>
    </xdr:pic>
    <xdr:clientData/>
  </xdr:twoCellAnchor>
  <xdr:twoCellAnchor>
    <xdr:from>
      <xdr:col>0</xdr:col>
      <xdr:colOff>335280</xdr:colOff>
      <xdr:row>5</xdr:row>
      <xdr:rowOff>99391</xdr:rowOff>
    </xdr:from>
    <xdr:to>
      <xdr:col>3</xdr:col>
      <xdr:colOff>441960</xdr:colOff>
      <xdr:row>9</xdr:row>
      <xdr:rowOff>99390</xdr:rowOff>
    </xdr:to>
    <xdr:sp macro="" textlink="">
      <xdr:nvSpPr>
        <xdr:cNvPr id="7" name="Rectangle: Rounded Corners 6">
          <a:extLst>
            <a:ext uri="{FF2B5EF4-FFF2-40B4-BE49-F238E27FC236}">
              <a16:creationId xmlns:a16="http://schemas.microsoft.com/office/drawing/2014/main" id="{30AAF4BD-CC83-81EF-0F3E-331D677AFDC0}"/>
            </a:ext>
          </a:extLst>
        </xdr:cNvPr>
        <xdr:cNvSpPr/>
      </xdr:nvSpPr>
      <xdr:spPr>
        <a:xfrm>
          <a:off x="335280" y="1038087"/>
          <a:ext cx="1928854" cy="750955"/>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student count </a:t>
          </a:r>
        </a:p>
      </xdr:txBody>
    </xdr:sp>
    <xdr:clientData/>
  </xdr:twoCellAnchor>
  <xdr:twoCellAnchor>
    <xdr:from>
      <xdr:col>1</xdr:col>
      <xdr:colOff>37327</xdr:colOff>
      <xdr:row>6</xdr:row>
      <xdr:rowOff>179787</xdr:rowOff>
    </xdr:from>
    <xdr:to>
      <xdr:col>3</xdr:col>
      <xdr:colOff>364987</xdr:colOff>
      <xdr:row>9</xdr:row>
      <xdr:rowOff>88347</xdr:rowOff>
    </xdr:to>
    <xdr:sp macro="" textlink="pivot_tables!A4">
      <xdr:nvSpPr>
        <xdr:cNvPr id="8" name="TextBox 7">
          <a:extLst>
            <a:ext uri="{FF2B5EF4-FFF2-40B4-BE49-F238E27FC236}">
              <a16:creationId xmlns:a16="http://schemas.microsoft.com/office/drawing/2014/main" id="{02981D6F-FEBA-7915-A4EF-5ECEA85BDF3E}"/>
            </a:ext>
          </a:extLst>
        </xdr:cNvPr>
        <xdr:cNvSpPr txBox="1"/>
      </xdr:nvSpPr>
      <xdr:spPr>
        <a:xfrm>
          <a:off x="644718" y="1306222"/>
          <a:ext cx="1542443" cy="471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2351A7-24B7-4A8B-B7A4-DEC2A36D7494}" type="TxLink">
            <a:rPr lang="en-US" sz="2400" b="1" i="0" u="none" strike="noStrike">
              <a:solidFill>
                <a:schemeClr val="bg1">
                  <a:lumMod val="85000"/>
                </a:schemeClr>
              </a:solidFill>
              <a:latin typeface="Calibri"/>
              <a:ea typeface="Calibri"/>
              <a:cs typeface="Calibri"/>
            </a:rPr>
            <a:pPr algn="ctr"/>
            <a:t>50</a:t>
          </a:fld>
          <a:endParaRPr lang="en-IN" sz="2400" b="1">
            <a:solidFill>
              <a:schemeClr val="bg1">
                <a:lumMod val="85000"/>
              </a:schemeClr>
            </a:solidFill>
          </a:endParaRPr>
        </a:p>
      </xdr:txBody>
    </xdr:sp>
    <xdr:clientData/>
  </xdr:twoCellAnchor>
  <xdr:twoCellAnchor editAs="oneCell">
    <xdr:from>
      <xdr:col>0</xdr:col>
      <xdr:colOff>585304</xdr:colOff>
      <xdr:row>6</xdr:row>
      <xdr:rowOff>168745</xdr:rowOff>
    </xdr:from>
    <xdr:to>
      <xdr:col>1</xdr:col>
      <xdr:colOff>480833</xdr:colOff>
      <xdr:row>9</xdr:row>
      <xdr:rowOff>123025</xdr:rowOff>
    </xdr:to>
    <xdr:pic>
      <xdr:nvPicPr>
        <xdr:cNvPr id="10" name="Graphic 9" descr="Users with solid fill">
          <a:extLst>
            <a:ext uri="{FF2B5EF4-FFF2-40B4-BE49-F238E27FC236}">
              <a16:creationId xmlns:a16="http://schemas.microsoft.com/office/drawing/2014/main" id="{D372A6F0-0CBF-38BF-68F1-975703A805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5304" y="1295180"/>
          <a:ext cx="502920" cy="517497"/>
        </a:xfrm>
        <a:prstGeom prst="rect">
          <a:avLst/>
        </a:prstGeom>
      </xdr:spPr>
    </xdr:pic>
    <xdr:clientData/>
  </xdr:twoCellAnchor>
  <xdr:twoCellAnchor>
    <xdr:from>
      <xdr:col>3</xdr:col>
      <xdr:colOff>571500</xdr:colOff>
      <xdr:row>5</xdr:row>
      <xdr:rowOff>114300</xdr:rowOff>
    </xdr:from>
    <xdr:to>
      <xdr:col>7</xdr:col>
      <xdr:colOff>68580</xdr:colOff>
      <xdr:row>9</xdr:row>
      <xdr:rowOff>76200</xdr:rowOff>
    </xdr:to>
    <xdr:sp macro="" textlink="">
      <xdr:nvSpPr>
        <xdr:cNvPr id="11" name="Rectangle: Rounded Corners 10">
          <a:extLst>
            <a:ext uri="{FF2B5EF4-FFF2-40B4-BE49-F238E27FC236}">
              <a16:creationId xmlns:a16="http://schemas.microsoft.com/office/drawing/2014/main" id="{7E737694-3359-4E32-9111-F38A647B5635}"/>
            </a:ext>
          </a:extLst>
        </xdr:cNvPr>
        <xdr:cNvSpPr/>
      </xdr:nvSpPr>
      <xdr:spPr>
        <a:xfrm>
          <a:off x="2400300" y="1028700"/>
          <a:ext cx="1935480" cy="6934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Avg. Math Score</a:t>
          </a:r>
        </a:p>
      </xdr:txBody>
    </xdr:sp>
    <xdr:clientData/>
  </xdr:twoCellAnchor>
  <xdr:twoCellAnchor>
    <xdr:from>
      <xdr:col>7</xdr:col>
      <xdr:colOff>281940</xdr:colOff>
      <xdr:row>5</xdr:row>
      <xdr:rowOff>106680</xdr:rowOff>
    </xdr:from>
    <xdr:to>
      <xdr:col>10</xdr:col>
      <xdr:colOff>388620</xdr:colOff>
      <xdr:row>9</xdr:row>
      <xdr:rowOff>68580</xdr:rowOff>
    </xdr:to>
    <xdr:sp macro="" textlink="">
      <xdr:nvSpPr>
        <xdr:cNvPr id="13" name="Rectangle: Rounded Corners 12">
          <a:extLst>
            <a:ext uri="{FF2B5EF4-FFF2-40B4-BE49-F238E27FC236}">
              <a16:creationId xmlns:a16="http://schemas.microsoft.com/office/drawing/2014/main" id="{76772053-01AB-42C4-BF53-F163BCEA9E24}"/>
            </a:ext>
          </a:extLst>
        </xdr:cNvPr>
        <xdr:cNvSpPr/>
      </xdr:nvSpPr>
      <xdr:spPr>
        <a:xfrm>
          <a:off x="4549140" y="1021080"/>
          <a:ext cx="1935480" cy="6934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Avg. Science Score</a:t>
          </a:r>
        </a:p>
      </xdr:txBody>
    </xdr:sp>
    <xdr:clientData/>
  </xdr:twoCellAnchor>
  <xdr:twoCellAnchor>
    <xdr:from>
      <xdr:col>10</xdr:col>
      <xdr:colOff>571500</xdr:colOff>
      <xdr:row>5</xdr:row>
      <xdr:rowOff>114300</xdr:rowOff>
    </xdr:from>
    <xdr:to>
      <xdr:col>14</xdr:col>
      <xdr:colOff>68580</xdr:colOff>
      <xdr:row>9</xdr:row>
      <xdr:rowOff>76200</xdr:rowOff>
    </xdr:to>
    <xdr:sp macro="" textlink="">
      <xdr:nvSpPr>
        <xdr:cNvPr id="14" name="Rectangle: Rounded Corners 13">
          <a:extLst>
            <a:ext uri="{FF2B5EF4-FFF2-40B4-BE49-F238E27FC236}">
              <a16:creationId xmlns:a16="http://schemas.microsoft.com/office/drawing/2014/main" id="{F1044274-F7B4-4203-BB17-C99B7BD12CFC}"/>
            </a:ext>
          </a:extLst>
        </xdr:cNvPr>
        <xdr:cNvSpPr/>
      </xdr:nvSpPr>
      <xdr:spPr>
        <a:xfrm>
          <a:off x="6667500" y="1028700"/>
          <a:ext cx="1935480" cy="6934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prstClr val="white"/>
              </a:solidFill>
              <a:effectLst/>
              <a:uLnTx/>
              <a:uFillTx/>
              <a:latin typeface="+mn-lt"/>
              <a:ea typeface="+mn-ea"/>
              <a:cs typeface="+mn-cs"/>
            </a:rPr>
            <a:t>Avg. English Score</a:t>
          </a:r>
        </a:p>
      </xdr:txBody>
    </xdr:sp>
    <xdr:clientData/>
  </xdr:twoCellAnchor>
  <xdr:twoCellAnchor>
    <xdr:from>
      <xdr:col>14</xdr:col>
      <xdr:colOff>236220</xdr:colOff>
      <xdr:row>5</xdr:row>
      <xdr:rowOff>106680</xdr:rowOff>
    </xdr:from>
    <xdr:to>
      <xdr:col>17</xdr:col>
      <xdr:colOff>342900</xdr:colOff>
      <xdr:row>9</xdr:row>
      <xdr:rowOff>68580</xdr:rowOff>
    </xdr:to>
    <xdr:sp macro="" textlink="">
      <xdr:nvSpPr>
        <xdr:cNvPr id="15" name="Rectangle: Rounded Corners 14">
          <a:extLst>
            <a:ext uri="{FF2B5EF4-FFF2-40B4-BE49-F238E27FC236}">
              <a16:creationId xmlns:a16="http://schemas.microsoft.com/office/drawing/2014/main" id="{7461CCD0-CE8E-495B-8C68-8965B28B881C}"/>
            </a:ext>
          </a:extLst>
        </xdr:cNvPr>
        <xdr:cNvSpPr/>
      </xdr:nvSpPr>
      <xdr:spPr>
        <a:xfrm>
          <a:off x="8770620" y="1021080"/>
          <a:ext cx="1935480" cy="6934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Attendance %</a:t>
          </a:r>
        </a:p>
      </xdr:txBody>
    </xdr:sp>
    <xdr:clientData/>
  </xdr:twoCellAnchor>
  <xdr:twoCellAnchor>
    <xdr:from>
      <xdr:col>4</xdr:col>
      <xdr:colOff>213360</xdr:colOff>
      <xdr:row>6</xdr:row>
      <xdr:rowOff>175260</xdr:rowOff>
    </xdr:from>
    <xdr:to>
      <xdr:col>6</xdr:col>
      <xdr:colOff>541020</xdr:colOff>
      <xdr:row>9</xdr:row>
      <xdr:rowOff>83820</xdr:rowOff>
    </xdr:to>
    <xdr:sp macro="" textlink="pivot_tables!A13">
      <xdr:nvSpPr>
        <xdr:cNvPr id="26" name="TextBox 25">
          <a:extLst>
            <a:ext uri="{FF2B5EF4-FFF2-40B4-BE49-F238E27FC236}">
              <a16:creationId xmlns:a16="http://schemas.microsoft.com/office/drawing/2014/main" id="{2BFAB48C-3EBD-4DC4-9F3A-29085D042E87}"/>
            </a:ext>
          </a:extLst>
        </xdr:cNvPr>
        <xdr:cNvSpPr txBox="1"/>
      </xdr:nvSpPr>
      <xdr:spPr>
        <a:xfrm>
          <a:off x="2651760" y="1272540"/>
          <a:ext cx="15468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55D866-C94C-4CC6-81F4-3254E956FBB5}" type="TxLink">
            <a:rPr lang="en-US" sz="2400" b="1" i="0" u="none" strike="noStrike">
              <a:solidFill>
                <a:schemeClr val="bg1">
                  <a:lumMod val="85000"/>
                </a:schemeClr>
              </a:solidFill>
              <a:latin typeface="Calibri"/>
              <a:ea typeface="Calibri"/>
              <a:cs typeface="Calibri"/>
            </a:rPr>
            <a:t>89.68</a:t>
          </a:fld>
          <a:endParaRPr lang="en-IN" sz="2400" b="1">
            <a:solidFill>
              <a:schemeClr val="bg1">
                <a:lumMod val="85000"/>
              </a:schemeClr>
            </a:solidFill>
          </a:endParaRPr>
        </a:p>
      </xdr:txBody>
    </xdr:sp>
    <xdr:clientData/>
  </xdr:twoCellAnchor>
  <xdr:twoCellAnchor>
    <xdr:from>
      <xdr:col>8</xdr:col>
      <xdr:colOff>22860</xdr:colOff>
      <xdr:row>6</xdr:row>
      <xdr:rowOff>152400</xdr:rowOff>
    </xdr:from>
    <xdr:to>
      <xdr:col>10</xdr:col>
      <xdr:colOff>350520</xdr:colOff>
      <xdr:row>9</xdr:row>
      <xdr:rowOff>60960</xdr:rowOff>
    </xdr:to>
    <xdr:sp macro="" textlink="pivot_tables!A9">
      <xdr:nvSpPr>
        <xdr:cNvPr id="27" name="TextBox 26">
          <a:extLst>
            <a:ext uri="{FF2B5EF4-FFF2-40B4-BE49-F238E27FC236}">
              <a16:creationId xmlns:a16="http://schemas.microsoft.com/office/drawing/2014/main" id="{8E208A38-69A0-4595-891A-00AE4B260928}"/>
            </a:ext>
          </a:extLst>
        </xdr:cNvPr>
        <xdr:cNvSpPr txBox="1"/>
      </xdr:nvSpPr>
      <xdr:spPr>
        <a:xfrm>
          <a:off x="4899660" y="1249680"/>
          <a:ext cx="15468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564AC1-F6AC-4292-B473-13A73CD91E82}" type="TxLink">
            <a:rPr lang="en-US" sz="2400" b="1" i="0" u="none" strike="noStrike">
              <a:solidFill>
                <a:schemeClr val="bg1">
                  <a:lumMod val="85000"/>
                </a:schemeClr>
              </a:solidFill>
              <a:latin typeface="Calibri"/>
              <a:ea typeface="Calibri"/>
              <a:cs typeface="Calibri"/>
            </a:rPr>
            <a:t>89.44</a:t>
          </a:fld>
          <a:endParaRPr lang="en-IN" sz="2400" b="1">
            <a:solidFill>
              <a:schemeClr val="bg1">
                <a:lumMod val="85000"/>
              </a:schemeClr>
            </a:solidFill>
          </a:endParaRPr>
        </a:p>
      </xdr:txBody>
    </xdr:sp>
    <xdr:clientData/>
  </xdr:twoCellAnchor>
  <xdr:twoCellAnchor>
    <xdr:from>
      <xdr:col>11</xdr:col>
      <xdr:colOff>198120</xdr:colOff>
      <xdr:row>6</xdr:row>
      <xdr:rowOff>160020</xdr:rowOff>
    </xdr:from>
    <xdr:to>
      <xdr:col>13</xdr:col>
      <xdr:colOff>525780</xdr:colOff>
      <xdr:row>9</xdr:row>
      <xdr:rowOff>68580</xdr:rowOff>
    </xdr:to>
    <xdr:sp macro="" textlink="pivot_tables!A16">
      <xdr:nvSpPr>
        <xdr:cNvPr id="28" name="TextBox 27">
          <a:extLst>
            <a:ext uri="{FF2B5EF4-FFF2-40B4-BE49-F238E27FC236}">
              <a16:creationId xmlns:a16="http://schemas.microsoft.com/office/drawing/2014/main" id="{760F97E5-B98F-499E-9162-D88C5A0FE412}"/>
            </a:ext>
          </a:extLst>
        </xdr:cNvPr>
        <xdr:cNvSpPr txBox="1"/>
      </xdr:nvSpPr>
      <xdr:spPr>
        <a:xfrm>
          <a:off x="6903720" y="1257300"/>
          <a:ext cx="15468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BFEE26-83B7-4F82-AED3-D85E2F0943F4}" type="TxLink">
            <a:rPr lang="en-US" sz="2400" b="1" i="0" u="none" strike="noStrike">
              <a:solidFill>
                <a:schemeClr val="bg1">
                  <a:lumMod val="85000"/>
                </a:schemeClr>
              </a:solidFill>
              <a:latin typeface="Calibri"/>
              <a:ea typeface="Calibri"/>
              <a:cs typeface="Calibri"/>
            </a:rPr>
            <a:t>89.18</a:t>
          </a:fld>
          <a:endParaRPr lang="en-US" sz="2400" b="1" i="0" u="none" strike="noStrike">
            <a:solidFill>
              <a:schemeClr val="bg1">
                <a:lumMod val="85000"/>
              </a:schemeClr>
            </a:solidFill>
            <a:latin typeface="Calibri"/>
            <a:ea typeface="Calibri"/>
            <a:cs typeface="Calibri"/>
          </a:endParaRPr>
        </a:p>
      </xdr:txBody>
    </xdr:sp>
    <xdr:clientData/>
  </xdr:twoCellAnchor>
  <xdr:twoCellAnchor>
    <xdr:from>
      <xdr:col>14</xdr:col>
      <xdr:colOff>502920</xdr:colOff>
      <xdr:row>6</xdr:row>
      <xdr:rowOff>160020</xdr:rowOff>
    </xdr:from>
    <xdr:to>
      <xdr:col>17</xdr:col>
      <xdr:colOff>220980</xdr:colOff>
      <xdr:row>9</xdr:row>
      <xdr:rowOff>68580</xdr:rowOff>
    </xdr:to>
    <xdr:sp macro="" textlink="pivot_tables!A19">
      <xdr:nvSpPr>
        <xdr:cNvPr id="29" name="TextBox 28">
          <a:extLst>
            <a:ext uri="{FF2B5EF4-FFF2-40B4-BE49-F238E27FC236}">
              <a16:creationId xmlns:a16="http://schemas.microsoft.com/office/drawing/2014/main" id="{6DDEBE2B-DAD6-4B33-8351-47EDB22C3FEA}"/>
            </a:ext>
          </a:extLst>
        </xdr:cNvPr>
        <xdr:cNvSpPr txBox="1"/>
      </xdr:nvSpPr>
      <xdr:spPr>
        <a:xfrm>
          <a:off x="9037320" y="1257300"/>
          <a:ext cx="15468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5F5082-DCA8-4214-BEE3-D8AA19611B6E}" type="TxLink">
            <a:rPr lang="en-US" sz="2400" b="1" i="0" u="none" strike="noStrike">
              <a:solidFill>
                <a:schemeClr val="bg1">
                  <a:lumMod val="85000"/>
                </a:schemeClr>
              </a:solidFill>
              <a:latin typeface="Calibri"/>
              <a:ea typeface="Calibri"/>
              <a:cs typeface="Calibri"/>
            </a:rPr>
            <a:t>91.96</a:t>
          </a:fld>
          <a:endParaRPr lang="en-IN" sz="2400" b="1">
            <a:solidFill>
              <a:schemeClr val="bg1">
                <a:lumMod val="85000"/>
              </a:schemeClr>
            </a:solidFill>
          </a:endParaRPr>
        </a:p>
      </xdr:txBody>
    </xdr:sp>
    <xdr:clientData/>
  </xdr:twoCellAnchor>
  <xdr:twoCellAnchor>
    <xdr:from>
      <xdr:col>8</xdr:col>
      <xdr:colOff>62547</xdr:colOff>
      <xdr:row>7</xdr:row>
      <xdr:rowOff>101600</xdr:rowOff>
    </xdr:from>
    <xdr:to>
      <xdr:col>8</xdr:col>
      <xdr:colOff>133032</xdr:colOff>
      <xdr:row>7</xdr:row>
      <xdr:rowOff>172085</xdr:rowOff>
    </xdr:to>
    <xdr:sp macro="" textlink="">
      <xdr:nvSpPr>
        <xdr:cNvPr id="59" name="Oval 58">
          <a:extLst>
            <a:ext uri="{FF2B5EF4-FFF2-40B4-BE49-F238E27FC236}">
              <a16:creationId xmlns:a16="http://schemas.microsoft.com/office/drawing/2014/main" id="{24F591B4-DCC1-9D29-6B98-001FD80E82D0}"/>
            </a:ext>
          </a:extLst>
        </xdr:cNvPr>
        <xdr:cNvSpPr/>
      </xdr:nvSpPr>
      <xdr:spPr>
        <a:xfrm>
          <a:off x="4939347" y="1381760"/>
          <a:ext cx="70485" cy="70485"/>
        </a:xfrm>
        <a:prstGeom prst="ellipse">
          <a:avLst/>
        </a:prstGeom>
        <a:solidFill>
          <a:srgbClr val="000000"/>
        </a:solidFill>
        <a:ln w="5854" cap="flat">
          <a:noFill/>
          <a:prstDash val="solid"/>
          <a:miter/>
        </a:ln>
      </xdr:spPr>
    </xdr:sp>
    <xdr:clientData/>
  </xdr:twoCellAnchor>
  <xdr:twoCellAnchor>
    <xdr:from>
      <xdr:col>8</xdr:col>
      <xdr:colOff>62547</xdr:colOff>
      <xdr:row>7</xdr:row>
      <xdr:rowOff>31115</xdr:rowOff>
    </xdr:from>
    <xdr:to>
      <xdr:col>8</xdr:col>
      <xdr:colOff>97789</xdr:colOff>
      <xdr:row>7</xdr:row>
      <xdr:rowOff>66357</xdr:rowOff>
    </xdr:to>
    <xdr:sp macro="" textlink="">
      <xdr:nvSpPr>
        <xdr:cNvPr id="60" name="Oval 59">
          <a:extLst>
            <a:ext uri="{FF2B5EF4-FFF2-40B4-BE49-F238E27FC236}">
              <a16:creationId xmlns:a16="http://schemas.microsoft.com/office/drawing/2014/main" id="{BD303517-ABD8-7C5D-DC63-7148A15779E8}"/>
            </a:ext>
          </a:extLst>
        </xdr:cNvPr>
        <xdr:cNvSpPr/>
      </xdr:nvSpPr>
      <xdr:spPr>
        <a:xfrm>
          <a:off x="4939347" y="1311275"/>
          <a:ext cx="35242" cy="35242"/>
        </a:xfrm>
        <a:prstGeom prst="ellipse">
          <a:avLst/>
        </a:prstGeom>
        <a:solidFill>
          <a:srgbClr val="000000"/>
        </a:solidFill>
        <a:ln w="5854" cap="flat">
          <a:noFill/>
          <a:prstDash val="solid"/>
          <a:miter/>
        </a:ln>
      </xdr:spPr>
    </xdr:sp>
    <xdr:clientData/>
  </xdr:twoCellAnchor>
  <xdr:twoCellAnchor>
    <xdr:from>
      <xdr:col>8</xdr:col>
      <xdr:colOff>162401</xdr:colOff>
      <xdr:row>7</xdr:row>
      <xdr:rowOff>136842</xdr:rowOff>
    </xdr:from>
    <xdr:to>
      <xdr:col>8</xdr:col>
      <xdr:colOff>197643</xdr:colOff>
      <xdr:row>7</xdr:row>
      <xdr:rowOff>172084</xdr:rowOff>
    </xdr:to>
    <xdr:sp macro="" textlink="">
      <xdr:nvSpPr>
        <xdr:cNvPr id="61" name="Oval 60">
          <a:extLst>
            <a:ext uri="{FF2B5EF4-FFF2-40B4-BE49-F238E27FC236}">
              <a16:creationId xmlns:a16="http://schemas.microsoft.com/office/drawing/2014/main" id="{77FE3D41-8A28-FBCC-720B-47722E21AE5B}"/>
            </a:ext>
          </a:extLst>
        </xdr:cNvPr>
        <xdr:cNvSpPr/>
      </xdr:nvSpPr>
      <xdr:spPr>
        <a:xfrm>
          <a:off x="5039201" y="1417002"/>
          <a:ext cx="35242" cy="35242"/>
        </a:xfrm>
        <a:prstGeom prst="ellipse">
          <a:avLst/>
        </a:prstGeom>
        <a:solidFill>
          <a:srgbClr val="000000"/>
        </a:solidFill>
        <a:ln w="5854" cap="flat">
          <a:noFill/>
          <a:prstDash val="solid"/>
          <a:miter/>
        </a:ln>
      </xdr:spPr>
    </xdr:sp>
    <xdr:clientData/>
  </xdr:twoCellAnchor>
  <xdr:twoCellAnchor>
    <xdr:from>
      <xdr:col>8</xdr:col>
      <xdr:colOff>168275</xdr:colOff>
      <xdr:row>7</xdr:row>
      <xdr:rowOff>54610</xdr:rowOff>
    </xdr:from>
    <xdr:to>
      <xdr:col>8</xdr:col>
      <xdr:colOff>215265</xdr:colOff>
      <xdr:row>7</xdr:row>
      <xdr:rowOff>101600</xdr:rowOff>
    </xdr:to>
    <xdr:sp macro="" textlink="">
      <xdr:nvSpPr>
        <xdr:cNvPr id="62" name="Oval 61">
          <a:extLst>
            <a:ext uri="{FF2B5EF4-FFF2-40B4-BE49-F238E27FC236}">
              <a16:creationId xmlns:a16="http://schemas.microsoft.com/office/drawing/2014/main" id="{974B52E7-C3E6-E748-DB46-4C2F72552AC8}"/>
            </a:ext>
          </a:extLst>
        </xdr:cNvPr>
        <xdr:cNvSpPr/>
      </xdr:nvSpPr>
      <xdr:spPr>
        <a:xfrm>
          <a:off x="5045075" y="1334770"/>
          <a:ext cx="46990" cy="46990"/>
        </a:xfrm>
        <a:prstGeom prst="ellipse">
          <a:avLst/>
        </a:prstGeom>
        <a:solidFill>
          <a:srgbClr val="000000"/>
        </a:solidFill>
        <a:ln w="5854" cap="flat">
          <a:noFill/>
          <a:prstDash val="solid"/>
          <a:miter/>
        </a:ln>
      </xdr:spPr>
    </xdr:sp>
    <xdr:clientData/>
  </xdr:twoCellAnchor>
  <xdr:twoCellAnchor>
    <xdr:from>
      <xdr:col>8</xdr:col>
      <xdr:colOff>26323</xdr:colOff>
      <xdr:row>8</xdr:row>
      <xdr:rowOff>29686</xdr:rowOff>
    </xdr:from>
    <xdr:to>
      <xdr:col>8</xdr:col>
      <xdr:colOff>243840</xdr:colOff>
      <xdr:row>9</xdr:row>
      <xdr:rowOff>53340</xdr:rowOff>
    </xdr:to>
    <xdr:sp macro="" textlink="">
      <xdr:nvSpPr>
        <xdr:cNvPr id="63" name="Freeform: Shape 62">
          <a:extLst>
            <a:ext uri="{FF2B5EF4-FFF2-40B4-BE49-F238E27FC236}">
              <a16:creationId xmlns:a16="http://schemas.microsoft.com/office/drawing/2014/main" id="{E84F8922-B9B0-621E-7BAA-BAF5EB4D976A}"/>
            </a:ext>
          </a:extLst>
        </xdr:cNvPr>
        <xdr:cNvSpPr/>
      </xdr:nvSpPr>
      <xdr:spPr>
        <a:xfrm>
          <a:off x="4903123" y="1492726"/>
          <a:ext cx="217517" cy="206534"/>
        </a:xfrm>
        <a:custGeom>
          <a:avLst/>
          <a:gdLst>
            <a:gd name="csX0" fmla="*/ 328055 w 328576"/>
            <a:gd name="csY0" fmla="*/ 8811 h 358298"/>
            <a:gd name="csX1" fmla="*/ 316895 w 328576"/>
            <a:gd name="csY1" fmla="*/ 0 h 358298"/>
            <a:gd name="csX2" fmla="*/ 11459 w 328576"/>
            <a:gd name="csY2" fmla="*/ 0 h 358298"/>
            <a:gd name="csX3" fmla="*/ 299 w 328576"/>
            <a:gd name="csY3" fmla="*/ 8811 h 358298"/>
            <a:gd name="csX4" fmla="*/ 6173 w 328576"/>
            <a:gd name="csY4" fmla="*/ 21733 h 358298"/>
            <a:gd name="csX5" fmla="*/ 23794 w 328576"/>
            <a:gd name="csY5" fmla="*/ 52864 h 358298"/>
            <a:gd name="csX6" fmla="*/ 23794 w 328576"/>
            <a:gd name="csY6" fmla="*/ 323056 h 358298"/>
            <a:gd name="csX7" fmla="*/ 59037 w 328576"/>
            <a:gd name="csY7" fmla="*/ 358299 h 358298"/>
            <a:gd name="csX8" fmla="*/ 270492 w 328576"/>
            <a:gd name="csY8" fmla="*/ 358299 h 358298"/>
            <a:gd name="csX9" fmla="*/ 305734 w 328576"/>
            <a:gd name="csY9" fmla="*/ 323056 h 358298"/>
            <a:gd name="csX10" fmla="*/ 305734 w 328576"/>
            <a:gd name="csY10" fmla="*/ 52864 h 358298"/>
            <a:gd name="csX11" fmla="*/ 322768 w 328576"/>
            <a:gd name="csY11" fmla="*/ 22320 h 358298"/>
            <a:gd name="csX12" fmla="*/ 328055 w 328576"/>
            <a:gd name="csY12" fmla="*/ 8811 h 358298"/>
            <a:gd name="csX13" fmla="*/ 246409 w 328576"/>
            <a:gd name="csY13" fmla="*/ 311309 h 358298"/>
            <a:gd name="csX14" fmla="*/ 175924 w 328576"/>
            <a:gd name="csY14" fmla="*/ 311309 h 358298"/>
            <a:gd name="csX15" fmla="*/ 175924 w 328576"/>
            <a:gd name="csY15" fmla="*/ 287814 h 358298"/>
            <a:gd name="csX16" fmla="*/ 246409 w 328576"/>
            <a:gd name="csY16" fmla="*/ 287814 h 358298"/>
            <a:gd name="csX17" fmla="*/ 246409 w 328576"/>
            <a:gd name="csY17" fmla="*/ 311309 h 358298"/>
            <a:gd name="csX18" fmla="*/ 246409 w 328576"/>
            <a:gd name="csY18" fmla="*/ 264319 h 358298"/>
            <a:gd name="csX19" fmla="*/ 175924 w 328576"/>
            <a:gd name="csY19" fmla="*/ 264319 h 358298"/>
            <a:gd name="csX20" fmla="*/ 175924 w 328576"/>
            <a:gd name="csY20" fmla="*/ 240824 h 358298"/>
            <a:gd name="csX21" fmla="*/ 246409 w 328576"/>
            <a:gd name="csY21" fmla="*/ 240824 h 358298"/>
            <a:gd name="csX22" fmla="*/ 246409 w 328576"/>
            <a:gd name="csY22" fmla="*/ 264319 h 358298"/>
            <a:gd name="csX23" fmla="*/ 246409 w 328576"/>
            <a:gd name="csY23" fmla="*/ 217329 h 358298"/>
            <a:gd name="csX24" fmla="*/ 175924 w 328576"/>
            <a:gd name="csY24" fmla="*/ 217329 h 358298"/>
            <a:gd name="csX25" fmla="*/ 175924 w 328576"/>
            <a:gd name="csY25" fmla="*/ 193834 h 358298"/>
            <a:gd name="csX26" fmla="*/ 246409 w 328576"/>
            <a:gd name="csY26" fmla="*/ 193834 h 358298"/>
            <a:gd name="csX27" fmla="*/ 246409 w 328576"/>
            <a:gd name="csY27" fmla="*/ 217329 h 358298"/>
            <a:gd name="csX28" fmla="*/ 246409 w 328576"/>
            <a:gd name="csY28" fmla="*/ 170339 h 358298"/>
            <a:gd name="csX29" fmla="*/ 175924 w 328576"/>
            <a:gd name="csY29" fmla="*/ 170339 h 358298"/>
            <a:gd name="csX30" fmla="*/ 175924 w 328576"/>
            <a:gd name="csY30" fmla="*/ 146844 h 358298"/>
            <a:gd name="csX31" fmla="*/ 246409 w 328576"/>
            <a:gd name="csY31" fmla="*/ 146844 h 358298"/>
            <a:gd name="csX32" fmla="*/ 246409 w 328576"/>
            <a:gd name="csY32" fmla="*/ 170339 h 358298"/>
            <a:gd name="csX33" fmla="*/ 246409 w 328576"/>
            <a:gd name="csY33" fmla="*/ 123349 h 358298"/>
            <a:gd name="csX34" fmla="*/ 175924 w 328576"/>
            <a:gd name="csY34" fmla="*/ 123349 h 358298"/>
            <a:gd name="csX35" fmla="*/ 175924 w 328576"/>
            <a:gd name="csY35" fmla="*/ 99854 h 358298"/>
            <a:gd name="csX36" fmla="*/ 246409 w 328576"/>
            <a:gd name="csY36" fmla="*/ 99854 h 358298"/>
            <a:gd name="csX37" fmla="*/ 246409 w 328576"/>
            <a:gd name="csY37" fmla="*/ 123349 h 358298"/>
            <a:gd name="csX38" fmla="*/ 281652 w 328576"/>
            <a:gd name="csY38" fmla="*/ 52864 h 358298"/>
            <a:gd name="csX39" fmla="*/ 281652 w 328576"/>
            <a:gd name="csY39" fmla="*/ 64024 h 358298"/>
            <a:gd name="csX40" fmla="*/ 205293 w 328576"/>
            <a:gd name="csY40" fmla="*/ 46990 h 358298"/>
            <a:gd name="csX41" fmla="*/ 134221 w 328576"/>
            <a:gd name="csY41" fmla="*/ 57563 h 358298"/>
            <a:gd name="csX42" fmla="*/ 46702 w 328576"/>
            <a:gd name="csY42" fmla="*/ 70485 h 358298"/>
            <a:gd name="csX43" fmla="*/ 46702 w 328576"/>
            <a:gd name="csY43" fmla="*/ 52864 h 358298"/>
            <a:gd name="csX44" fmla="*/ 39066 w 328576"/>
            <a:gd name="csY44" fmla="*/ 23495 h 358298"/>
            <a:gd name="csX45" fmla="*/ 289288 w 328576"/>
            <a:gd name="csY45" fmla="*/ 23495 h 358298"/>
            <a:gd name="csX46" fmla="*/ 281652 w 328576"/>
            <a:gd name="csY46" fmla="*/ 52864 h 35829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Lst>
          <a:rect l="l" t="t" r="r" b="b"/>
          <a:pathLst>
            <a:path w="328576" h="358298">
              <a:moveTo>
                <a:pt x="328055" y="8811"/>
              </a:moveTo>
              <a:cubicBezTo>
                <a:pt x="326880" y="3524"/>
                <a:pt x="322181" y="0"/>
                <a:pt x="316895" y="0"/>
              </a:cubicBezTo>
              <a:lnTo>
                <a:pt x="11459" y="0"/>
              </a:lnTo>
              <a:cubicBezTo>
                <a:pt x="6173" y="0"/>
                <a:pt x="1474" y="3524"/>
                <a:pt x="299" y="8811"/>
              </a:cubicBezTo>
              <a:cubicBezTo>
                <a:pt x="-875" y="14097"/>
                <a:pt x="1474" y="19383"/>
                <a:pt x="6173" y="21733"/>
              </a:cubicBezTo>
              <a:cubicBezTo>
                <a:pt x="6173" y="21733"/>
                <a:pt x="23794" y="31718"/>
                <a:pt x="23794" y="52864"/>
              </a:cubicBezTo>
              <a:lnTo>
                <a:pt x="23794" y="323056"/>
              </a:lnTo>
              <a:cubicBezTo>
                <a:pt x="23794" y="342440"/>
                <a:pt x="39653" y="358299"/>
                <a:pt x="59037" y="358299"/>
              </a:cubicBezTo>
              <a:lnTo>
                <a:pt x="270492" y="358299"/>
              </a:lnTo>
              <a:cubicBezTo>
                <a:pt x="289875" y="358299"/>
                <a:pt x="305734" y="342440"/>
                <a:pt x="305734" y="323056"/>
              </a:cubicBezTo>
              <a:lnTo>
                <a:pt x="305734" y="52864"/>
              </a:lnTo>
              <a:cubicBezTo>
                <a:pt x="305734" y="31718"/>
                <a:pt x="322181" y="22320"/>
                <a:pt x="322768" y="22320"/>
              </a:cubicBezTo>
              <a:cubicBezTo>
                <a:pt x="326880" y="19383"/>
                <a:pt x="329817" y="14097"/>
                <a:pt x="328055" y="8811"/>
              </a:cubicBezTo>
              <a:close/>
              <a:moveTo>
                <a:pt x="246409" y="311309"/>
              </a:moveTo>
              <a:lnTo>
                <a:pt x="175924" y="311309"/>
              </a:lnTo>
              <a:lnTo>
                <a:pt x="175924" y="287814"/>
              </a:lnTo>
              <a:lnTo>
                <a:pt x="246409" y="287814"/>
              </a:lnTo>
              <a:lnTo>
                <a:pt x="246409" y="311309"/>
              </a:lnTo>
              <a:close/>
              <a:moveTo>
                <a:pt x="246409" y="264319"/>
              </a:moveTo>
              <a:lnTo>
                <a:pt x="175924" y="264319"/>
              </a:lnTo>
              <a:lnTo>
                <a:pt x="175924" y="240824"/>
              </a:lnTo>
              <a:lnTo>
                <a:pt x="246409" y="240824"/>
              </a:lnTo>
              <a:lnTo>
                <a:pt x="246409" y="264319"/>
              </a:lnTo>
              <a:close/>
              <a:moveTo>
                <a:pt x="246409" y="217329"/>
              </a:moveTo>
              <a:lnTo>
                <a:pt x="175924" y="217329"/>
              </a:lnTo>
              <a:lnTo>
                <a:pt x="175924" y="193834"/>
              </a:lnTo>
              <a:lnTo>
                <a:pt x="246409" y="193834"/>
              </a:lnTo>
              <a:lnTo>
                <a:pt x="246409" y="217329"/>
              </a:lnTo>
              <a:close/>
              <a:moveTo>
                <a:pt x="246409" y="170339"/>
              </a:moveTo>
              <a:lnTo>
                <a:pt x="175924" y="170339"/>
              </a:lnTo>
              <a:lnTo>
                <a:pt x="175924" y="146844"/>
              </a:lnTo>
              <a:lnTo>
                <a:pt x="246409" y="146844"/>
              </a:lnTo>
              <a:lnTo>
                <a:pt x="246409" y="170339"/>
              </a:lnTo>
              <a:close/>
              <a:moveTo>
                <a:pt x="246409" y="123349"/>
              </a:moveTo>
              <a:lnTo>
                <a:pt x="175924" y="123349"/>
              </a:lnTo>
              <a:lnTo>
                <a:pt x="175924" y="99854"/>
              </a:lnTo>
              <a:lnTo>
                <a:pt x="246409" y="99854"/>
              </a:lnTo>
              <a:lnTo>
                <a:pt x="246409" y="123349"/>
              </a:lnTo>
              <a:close/>
              <a:moveTo>
                <a:pt x="281652" y="52864"/>
              </a:moveTo>
              <a:lnTo>
                <a:pt x="281652" y="64024"/>
              </a:lnTo>
              <a:cubicBezTo>
                <a:pt x="263443" y="56975"/>
                <a:pt x="234075" y="46990"/>
                <a:pt x="205293" y="46990"/>
              </a:cubicBezTo>
              <a:cubicBezTo>
                <a:pt x="173575" y="46990"/>
                <a:pt x="154192" y="52276"/>
                <a:pt x="134221" y="57563"/>
              </a:cubicBezTo>
              <a:cubicBezTo>
                <a:pt x="112488" y="63436"/>
                <a:pt x="89580" y="69310"/>
                <a:pt x="46702" y="70485"/>
              </a:cubicBezTo>
              <a:lnTo>
                <a:pt x="46702" y="52864"/>
              </a:lnTo>
              <a:cubicBezTo>
                <a:pt x="46702" y="41116"/>
                <a:pt x="43178" y="31131"/>
                <a:pt x="39066" y="23495"/>
              </a:cubicBezTo>
              <a:lnTo>
                <a:pt x="289288" y="23495"/>
              </a:lnTo>
              <a:cubicBezTo>
                <a:pt x="285176" y="31131"/>
                <a:pt x="281652" y="41116"/>
                <a:pt x="281652" y="52864"/>
              </a:cubicBezTo>
              <a:close/>
            </a:path>
          </a:pathLst>
        </a:custGeom>
        <a:solidFill>
          <a:schemeClr val="bg1">
            <a:lumMod val="85000"/>
          </a:schemeClr>
        </a:solidFill>
        <a:ln w="5854" cap="flat">
          <a:noFill/>
          <a:prstDash val="solid"/>
          <a:miter/>
        </a:ln>
      </xdr:spPr>
    </xdr:sp>
    <xdr:clientData/>
  </xdr:twoCellAnchor>
  <xdr:twoCellAnchor editAs="oneCell">
    <xdr:from>
      <xdr:col>14</xdr:col>
      <xdr:colOff>441960</xdr:colOff>
      <xdr:row>7</xdr:row>
      <xdr:rowOff>45720</xdr:rowOff>
    </xdr:from>
    <xdr:to>
      <xdr:col>15</xdr:col>
      <xdr:colOff>251460</xdr:colOff>
      <xdr:row>9</xdr:row>
      <xdr:rowOff>99060</xdr:rowOff>
    </xdr:to>
    <xdr:pic>
      <xdr:nvPicPr>
        <xdr:cNvPr id="65" name="Graphic 64" descr="Classroom with solid fill">
          <a:extLst>
            <a:ext uri="{FF2B5EF4-FFF2-40B4-BE49-F238E27FC236}">
              <a16:creationId xmlns:a16="http://schemas.microsoft.com/office/drawing/2014/main" id="{04EB7375-10D9-602B-E20F-AF0A5FD8F9B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76360" y="1325880"/>
          <a:ext cx="419100" cy="419100"/>
        </a:xfrm>
        <a:prstGeom prst="rect">
          <a:avLst/>
        </a:prstGeom>
      </xdr:spPr>
    </xdr:pic>
    <xdr:clientData/>
  </xdr:twoCellAnchor>
  <xdr:twoCellAnchor editAs="oneCell">
    <xdr:from>
      <xdr:col>4</xdr:col>
      <xdr:colOff>182880</xdr:colOff>
      <xdr:row>7</xdr:row>
      <xdr:rowOff>22860</xdr:rowOff>
    </xdr:from>
    <xdr:to>
      <xdr:col>4</xdr:col>
      <xdr:colOff>586740</xdr:colOff>
      <xdr:row>9</xdr:row>
      <xdr:rowOff>60960</xdr:rowOff>
    </xdr:to>
    <xdr:pic>
      <xdr:nvPicPr>
        <xdr:cNvPr id="67" name="Graphic 66" descr="Ruler with solid fill">
          <a:extLst>
            <a:ext uri="{FF2B5EF4-FFF2-40B4-BE49-F238E27FC236}">
              <a16:creationId xmlns:a16="http://schemas.microsoft.com/office/drawing/2014/main" id="{F886FC23-91DA-790F-0510-2EEB4F9A5B1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21280" y="1303020"/>
          <a:ext cx="403860" cy="403860"/>
        </a:xfrm>
        <a:prstGeom prst="rect">
          <a:avLst/>
        </a:prstGeom>
      </xdr:spPr>
    </xdr:pic>
    <xdr:clientData/>
  </xdr:twoCellAnchor>
  <xdr:twoCellAnchor editAs="oneCell">
    <xdr:from>
      <xdr:col>11</xdr:col>
      <xdr:colOff>91440</xdr:colOff>
      <xdr:row>6</xdr:row>
      <xdr:rowOff>175260</xdr:rowOff>
    </xdr:from>
    <xdr:to>
      <xdr:col>11</xdr:col>
      <xdr:colOff>556260</xdr:colOff>
      <xdr:row>9</xdr:row>
      <xdr:rowOff>91440</xdr:rowOff>
    </xdr:to>
    <xdr:pic>
      <xdr:nvPicPr>
        <xdr:cNvPr id="69" name="Graphic 68" descr="Books with solid fill">
          <a:extLst>
            <a:ext uri="{FF2B5EF4-FFF2-40B4-BE49-F238E27FC236}">
              <a16:creationId xmlns:a16="http://schemas.microsoft.com/office/drawing/2014/main" id="{F46DD008-9524-18A4-5861-BEE6813810D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97040" y="1272540"/>
          <a:ext cx="464820" cy="464820"/>
        </a:xfrm>
        <a:prstGeom prst="rect">
          <a:avLst/>
        </a:prstGeom>
      </xdr:spPr>
    </xdr:pic>
    <xdr:clientData/>
  </xdr:twoCellAnchor>
  <xdr:twoCellAnchor editAs="oneCell">
    <xdr:from>
      <xdr:col>17</xdr:col>
      <xdr:colOff>512025</xdr:colOff>
      <xdr:row>33</xdr:row>
      <xdr:rowOff>161753</xdr:rowOff>
    </xdr:from>
    <xdr:to>
      <xdr:col>22</xdr:col>
      <xdr:colOff>480166</xdr:colOff>
      <xdr:row>39</xdr:row>
      <xdr:rowOff>11954</xdr:rowOff>
    </xdr:to>
    <mc:AlternateContent xmlns:mc="http://schemas.openxmlformats.org/markup-compatibility/2006">
      <mc:Choice xmlns:a14="http://schemas.microsoft.com/office/drawing/2010/main" Requires="a14">
        <xdr:graphicFrame macro="">
          <xdr:nvGraphicFramePr>
            <xdr:cNvPr id="74" name="gender 1">
              <a:extLst>
                <a:ext uri="{FF2B5EF4-FFF2-40B4-BE49-F238E27FC236}">
                  <a16:creationId xmlns:a16="http://schemas.microsoft.com/office/drawing/2014/main" id="{9C545670-D470-463F-9446-9D77DBF9104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875225" y="6196793"/>
              <a:ext cx="3016141" cy="947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518528</xdr:colOff>
      <xdr:row>24</xdr:row>
      <xdr:rowOff>12575</xdr:rowOff>
    </xdr:from>
    <xdr:to>
      <xdr:col>22</xdr:col>
      <xdr:colOff>469727</xdr:colOff>
      <xdr:row>31</xdr:row>
      <xdr:rowOff>179299</xdr:rowOff>
    </xdr:to>
    <mc:AlternateContent xmlns:mc="http://schemas.openxmlformats.org/markup-compatibility/2006">
      <mc:Choice xmlns:a14="http://schemas.microsoft.com/office/drawing/2010/main" Requires="a14">
        <xdr:graphicFrame macro="">
          <xdr:nvGraphicFramePr>
            <xdr:cNvPr id="75" name="grade_level 1">
              <a:extLst>
                <a:ext uri="{FF2B5EF4-FFF2-40B4-BE49-F238E27FC236}">
                  <a16:creationId xmlns:a16="http://schemas.microsoft.com/office/drawing/2014/main" id="{802FF73A-A2DA-435D-8026-EE28958E15FA}"/>
                </a:ext>
              </a:extLst>
            </xdr:cNvPr>
            <xdr:cNvGraphicFramePr/>
          </xdr:nvGraphicFramePr>
          <xdr:xfrm>
            <a:off x="0" y="0"/>
            <a:ext cx="0" cy="0"/>
          </xdr:xfrm>
          <a:graphic>
            <a:graphicData uri="http://schemas.microsoft.com/office/drawing/2010/slicer">
              <sle:slicer xmlns:sle="http://schemas.microsoft.com/office/drawing/2010/slicer" name="grade_level 1"/>
            </a:graphicData>
          </a:graphic>
        </xdr:graphicFrame>
      </mc:Choice>
      <mc:Fallback>
        <xdr:sp macro="" textlink="">
          <xdr:nvSpPr>
            <xdr:cNvPr id="0" name=""/>
            <xdr:cNvSpPr>
              <a:spLocks noTextEdit="1"/>
            </xdr:cNvSpPr>
          </xdr:nvSpPr>
          <xdr:spPr>
            <a:xfrm>
              <a:off x="10881728" y="4401695"/>
              <a:ext cx="2999199" cy="1446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492430</xdr:colOff>
      <xdr:row>15</xdr:row>
      <xdr:rowOff>54113</xdr:rowOff>
    </xdr:from>
    <xdr:to>
      <xdr:col>22</xdr:col>
      <xdr:colOff>467848</xdr:colOff>
      <xdr:row>22</xdr:row>
      <xdr:rowOff>123963</xdr:rowOff>
    </xdr:to>
    <mc:AlternateContent xmlns:mc="http://schemas.openxmlformats.org/markup-compatibility/2006">
      <mc:Choice xmlns:a14="http://schemas.microsoft.com/office/drawing/2010/main" Requires="a14">
        <xdr:graphicFrame macro="">
          <xdr:nvGraphicFramePr>
            <xdr:cNvPr id="76" name="study_group 1">
              <a:extLst>
                <a:ext uri="{FF2B5EF4-FFF2-40B4-BE49-F238E27FC236}">
                  <a16:creationId xmlns:a16="http://schemas.microsoft.com/office/drawing/2014/main" id="{920EDD5F-1F85-446E-866B-0429DB292085}"/>
                </a:ext>
              </a:extLst>
            </xdr:cNvPr>
            <xdr:cNvGraphicFramePr/>
          </xdr:nvGraphicFramePr>
          <xdr:xfrm>
            <a:off x="0" y="0"/>
            <a:ext cx="0" cy="0"/>
          </xdr:xfrm>
          <a:graphic>
            <a:graphicData uri="http://schemas.microsoft.com/office/drawing/2010/slicer">
              <sle:slicer xmlns:sle="http://schemas.microsoft.com/office/drawing/2010/slicer" name="study_group 1"/>
            </a:graphicData>
          </a:graphic>
        </xdr:graphicFrame>
      </mc:Choice>
      <mc:Fallback>
        <xdr:sp macro="" textlink="">
          <xdr:nvSpPr>
            <xdr:cNvPr id="0" name=""/>
            <xdr:cNvSpPr>
              <a:spLocks noTextEdit="1"/>
            </xdr:cNvSpPr>
          </xdr:nvSpPr>
          <xdr:spPr>
            <a:xfrm>
              <a:off x="10855630" y="2797313"/>
              <a:ext cx="3023418" cy="1350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496650</xdr:colOff>
      <xdr:row>5</xdr:row>
      <xdr:rowOff>146748</xdr:rowOff>
    </xdr:from>
    <xdr:to>
      <xdr:col>22</xdr:col>
      <xdr:colOff>437854</xdr:colOff>
      <xdr:row>13</xdr:row>
      <xdr:rowOff>161143</xdr:rowOff>
    </xdr:to>
    <mc:AlternateContent xmlns:mc="http://schemas.openxmlformats.org/markup-compatibility/2006">
      <mc:Choice xmlns:a14="http://schemas.microsoft.com/office/drawing/2010/main" Requires="a14">
        <xdr:graphicFrame macro="">
          <xdr:nvGraphicFramePr>
            <xdr:cNvPr id="77" name="extra_curricular 1">
              <a:extLst>
                <a:ext uri="{FF2B5EF4-FFF2-40B4-BE49-F238E27FC236}">
                  <a16:creationId xmlns:a16="http://schemas.microsoft.com/office/drawing/2014/main" id="{D900DD54-9D8A-4BE5-B1A5-63D4544EE1A3}"/>
                </a:ext>
              </a:extLst>
            </xdr:cNvPr>
            <xdr:cNvGraphicFramePr/>
          </xdr:nvGraphicFramePr>
          <xdr:xfrm>
            <a:off x="0" y="0"/>
            <a:ext cx="0" cy="0"/>
          </xdr:xfrm>
          <a:graphic>
            <a:graphicData uri="http://schemas.microsoft.com/office/drawing/2010/slicer">
              <sle:slicer xmlns:sle="http://schemas.microsoft.com/office/drawing/2010/slicer" name="extra_curricular 1"/>
            </a:graphicData>
          </a:graphic>
        </xdr:graphicFrame>
      </mc:Choice>
      <mc:Fallback>
        <xdr:sp macro="" textlink="">
          <xdr:nvSpPr>
            <xdr:cNvPr id="0" name=""/>
            <xdr:cNvSpPr>
              <a:spLocks noTextEdit="1"/>
            </xdr:cNvSpPr>
          </xdr:nvSpPr>
          <xdr:spPr>
            <a:xfrm>
              <a:off x="10859850" y="1061148"/>
              <a:ext cx="2989204" cy="1477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286462</xdr:colOff>
      <xdr:row>10</xdr:row>
      <xdr:rowOff>141356</xdr:rowOff>
    </xdr:from>
    <xdr:to>
      <xdr:col>5</xdr:col>
      <xdr:colOff>381000</xdr:colOff>
      <xdr:row>23</xdr:row>
      <xdr:rowOff>99391</xdr:rowOff>
    </xdr:to>
    <xdr:graphicFrame macro="">
      <xdr:nvGraphicFramePr>
        <xdr:cNvPr id="78" name="Chart 77">
          <a:extLst>
            <a:ext uri="{FF2B5EF4-FFF2-40B4-BE49-F238E27FC236}">
              <a16:creationId xmlns:a16="http://schemas.microsoft.com/office/drawing/2014/main" id="{E4B4127E-87B0-4392-B371-98FB67F57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548445</xdr:colOff>
      <xdr:row>10</xdr:row>
      <xdr:rowOff>142045</xdr:rowOff>
    </xdr:from>
    <xdr:to>
      <xdr:col>11</xdr:col>
      <xdr:colOff>180975</xdr:colOff>
      <xdr:row>23</xdr:row>
      <xdr:rowOff>175178</xdr:rowOff>
    </xdr:to>
    <xdr:graphicFrame macro="">
      <xdr:nvGraphicFramePr>
        <xdr:cNvPr id="79" name="Chart 78">
          <a:extLst>
            <a:ext uri="{FF2B5EF4-FFF2-40B4-BE49-F238E27FC236}">
              <a16:creationId xmlns:a16="http://schemas.microsoft.com/office/drawing/2014/main" id="{E999246B-C9C2-427E-9DE5-7DBABBAA4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361950</xdr:colOff>
      <xdr:row>26</xdr:row>
      <xdr:rowOff>28575</xdr:rowOff>
    </xdr:from>
    <xdr:to>
      <xdr:col>17</xdr:col>
      <xdr:colOff>198782</xdr:colOff>
      <xdr:row>39</xdr:row>
      <xdr:rowOff>66675</xdr:rowOff>
    </xdr:to>
    <xdr:graphicFrame macro="">
      <xdr:nvGraphicFramePr>
        <xdr:cNvPr id="80" name="Chart 79">
          <a:extLst>
            <a:ext uri="{FF2B5EF4-FFF2-40B4-BE49-F238E27FC236}">
              <a16:creationId xmlns:a16="http://schemas.microsoft.com/office/drawing/2014/main" id="{2C201F5F-1AB8-4686-93DF-EB9C200D6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299959</xdr:colOff>
      <xdr:row>10</xdr:row>
      <xdr:rowOff>149309</xdr:rowOff>
    </xdr:from>
    <xdr:to>
      <xdr:col>17</xdr:col>
      <xdr:colOff>204303</xdr:colOff>
      <xdr:row>23</xdr:row>
      <xdr:rowOff>108501</xdr:rowOff>
    </xdr:to>
    <xdr:graphicFrame macro="">
      <xdr:nvGraphicFramePr>
        <xdr:cNvPr id="81" name="Chart 80">
          <a:extLst>
            <a:ext uri="{FF2B5EF4-FFF2-40B4-BE49-F238E27FC236}">
              <a16:creationId xmlns:a16="http://schemas.microsoft.com/office/drawing/2014/main" id="{2C47B51D-7F9C-4F63-8C7D-87C5BA2FC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555273</xdr:colOff>
      <xdr:row>26</xdr:row>
      <xdr:rowOff>28575</xdr:rowOff>
    </xdr:from>
    <xdr:to>
      <xdr:col>11</xdr:col>
      <xdr:colOff>171450</xdr:colOff>
      <xdr:row>39</xdr:row>
      <xdr:rowOff>38099</xdr:rowOff>
    </xdr:to>
    <xdr:graphicFrame macro="">
      <xdr:nvGraphicFramePr>
        <xdr:cNvPr id="82" name="Chart 81">
          <a:extLst>
            <a:ext uri="{FF2B5EF4-FFF2-40B4-BE49-F238E27FC236}">
              <a16:creationId xmlns:a16="http://schemas.microsoft.com/office/drawing/2014/main" id="{F961A17C-CA8F-4A1D-BB4E-F0CBDC583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285750</xdr:colOff>
      <xdr:row>25</xdr:row>
      <xdr:rowOff>155927</xdr:rowOff>
    </xdr:from>
    <xdr:to>
      <xdr:col>5</xdr:col>
      <xdr:colOff>398639</xdr:colOff>
      <xdr:row>39</xdr:row>
      <xdr:rowOff>57150</xdr:rowOff>
    </xdr:to>
    <xdr:graphicFrame macro="">
      <xdr:nvGraphicFramePr>
        <xdr:cNvPr id="83" name="Chart 82">
          <a:extLst>
            <a:ext uri="{FF2B5EF4-FFF2-40B4-BE49-F238E27FC236}">
              <a16:creationId xmlns:a16="http://schemas.microsoft.com/office/drawing/2014/main" id="{BFAD5920-061F-43F0-8696-0FB5E9221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hrana" refreshedDate="46264.478711226853" createdVersion="8" refreshedVersion="8" minRefreshableVersion="3" recordCount="50" xr:uid="{8599A2E6-BA7D-48A0-9CA3-8042223941ED}">
  <cacheSource type="worksheet">
    <worksheetSource name="student_records"/>
  </cacheSource>
  <cacheFields count="9">
    <cacheField name="student_id" numFmtId="0">
      <sharedItems count="5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haredItems>
    </cacheField>
    <cacheField name="math_score" numFmtId="0">
      <sharedItems containsSemiMixedTypes="0" containsString="0" containsNumber="1" containsInteger="1" minValue="81" maxValue="98"/>
    </cacheField>
    <cacheField name="science_score" numFmtId="0">
      <sharedItems containsSemiMixedTypes="0" containsString="0" containsNumber="1" containsInteger="1" minValue="81" maxValue="97"/>
    </cacheField>
    <cacheField name="english_score" numFmtId="0">
      <sharedItems containsSemiMixedTypes="0" containsString="0" containsNumber="1" containsInteger="1" minValue="80" maxValue="97"/>
    </cacheField>
    <cacheField name="attendance_percent" numFmtId="0">
      <sharedItems containsSemiMixedTypes="0" containsString="0" containsNumber="1" minValue="82.6" maxValue="99.1"/>
    </cacheField>
    <cacheField name="gender" numFmtId="0">
      <sharedItems count="2">
        <s v="Male"/>
        <s v="Female"/>
      </sharedItems>
    </cacheField>
    <cacheField name="grade_level" numFmtId="0">
      <sharedItems count="4">
        <s v="Grade 10"/>
        <s v="Grade 11"/>
        <s v="Grade 12"/>
        <s v="Grade 9"/>
      </sharedItems>
    </cacheField>
    <cacheField name="study_group" numFmtId="0">
      <sharedItems count="3">
        <s v="Group A"/>
        <s v="Group B"/>
        <s v="Group C"/>
      </sharedItems>
    </cacheField>
    <cacheField name="extra_curricular" numFmtId="0">
      <sharedItems count="4">
        <s v="Sports"/>
        <s v="Music"/>
        <s v="Art"/>
        <s v="None"/>
      </sharedItems>
    </cacheField>
  </cacheFields>
  <extLst>
    <ext xmlns:x14="http://schemas.microsoft.com/office/spreadsheetml/2009/9/main" uri="{725AE2AE-9491-48be-B2B4-4EB974FC3084}">
      <x14:pivotCacheDefinition pivotCacheId="8073843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92"/>
    <n v="88"/>
    <n v="85"/>
    <n v="94.5"/>
    <x v="0"/>
    <x v="0"/>
    <x v="0"/>
    <x v="0"/>
  </r>
  <r>
    <x v="1"/>
    <n v="85"/>
    <n v="91"/>
    <n v="89"/>
    <n v="91.2"/>
    <x v="1"/>
    <x v="1"/>
    <x v="1"/>
    <x v="1"/>
  </r>
  <r>
    <x v="2"/>
    <n v="96"/>
    <n v="94"/>
    <n v="92"/>
    <n v="97.8"/>
    <x v="0"/>
    <x v="2"/>
    <x v="2"/>
    <x v="2"/>
  </r>
  <r>
    <x v="3"/>
    <n v="88"/>
    <n v="86"/>
    <n v="90"/>
    <n v="89.6"/>
    <x v="1"/>
    <x v="3"/>
    <x v="0"/>
    <x v="0"/>
  </r>
  <r>
    <x v="4"/>
    <n v="91"/>
    <n v="93"/>
    <n v="87"/>
    <n v="95.4"/>
    <x v="0"/>
    <x v="0"/>
    <x v="1"/>
    <x v="1"/>
  </r>
  <r>
    <x v="5"/>
    <n v="84"/>
    <n v="89"/>
    <n v="86"/>
    <n v="88.7"/>
    <x v="1"/>
    <x v="1"/>
    <x v="2"/>
    <x v="2"/>
  </r>
  <r>
    <x v="6"/>
    <n v="98"/>
    <n v="95"/>
    <n v="94"/>
    <n v="98.2"/>
    <x v="0"/>
    <x v="2"/>
    <x v="0"/>
    <x v="0"/>
  </r>
  <r>
    <x v="7"/>
    <n v="87"/>
    <n v="82"/>
    <n v="85"/>
    <n v="86.9"/>
    <x v="1"/>
    <x v="0"/>
    <x v="1"/>
    <x v="3"/>
  </r>
  <r>
    <x v="8"/>
    <n v="93"/>
    <n v="90"/>
    <n v="88"/>
    <n v="92.6"/>
    <x v="0"/>
    <x v="1"/>
    <x v="2"/>
    <x v="1"/>
  </r>
  <r>
    <x v="9"/>
    <n v="89"/>
    <n v="85"/>
    <n v="91"/>
    <n v="90.3"/>
    <x v="1"/>
    <x v="2"/>
    <x v="0"/>
    <x v="2"/>
  </r>
  <r>
    <x v="10"/>
    <n v="95"/>
    <n v="97"/>
    <n v="93"/>
    <n v="96.7"/>
    <x v="0"/>
    <x v="3"/>
    <x v="1"/>
    <x v="0"/>
  </r>
  <r>
    <x v="11"/>
    <n v="82"/>
    <n v="84"/>
    <n v="80"/>
    <n v="85.5"/>
    <x v="1"/>
    <x v="0"/>
    <x v="2"/>
    <x v="3"/>
  </r>
  <r>
    <x v="12"/>
    <n v="90"/>
    <n v="88"/>
    <n v="92"/>
    <n v="93.1"/>
    <x v="0"/>
    <x v="1"/>
    <x v="0"/>
    <x v="1"/>
  </r>
  <r>
    <x v="13"/>
    <n v="86"/>
    <n v="91"/>
    <n v="84"/>
    <n v="87.8"/>
    <x v="1"/>
    <x v="2"/>
    <x v="1"/>
    <x v="0"/>
  </r>
  <r>
    <x v="14"/>
    <n v="94"/>
    <n v="89"/>
    <n v="95"/>
    <n v="94.9"/>
    <x v="0"/>
    <x v="0"/>
    <x v="2"/>
    <x v="2"/>
  </r>
  <r>
    <x v="15"/>
    <n v="81"/>
    <n v="83"/>
    <n v="87"/>
    <n v="84.6"/>
    <x v="1"/>
    <x v="3"/>
    <x v="0"/>
    <x v="1"/>
  </r>
  <r>
    <x v="16"/>
    <n v="97"/>
    <n v="92"/>
    <n v="90"/>
    <n v="97.1"/>
    <x v="0"/>
    <x v="1"/>
    <x v="1"/>
    <x v="0"/>
  </r>
  <r>
    <x v="17"/>
    <n v="88"/>
    <n v="87"/>
    <n v="89"/>
    <n v="91.8"/>
    <x v="1"/>
    <x v="2"/>
    <x v="2"/>
    <x v="2"/>
  </r>
  <r>
    <x v="18"/>
    <n v="92"/>
    <n v="96"/>
    <n v="94"/>
    <n v="95.6"/>
    <x v="0"/>
    <x v="0"/>
    <x v="0"/>
    <x v="3"/>
  </r>
  <r>
    <x v="19"/>
    <n v="85"/>
    <n v="90"/>
    <n v="88"/>
    <n v="89.4"/>
    <x v="1"/>
    <x v="1"/>
    <x v="1"/>
    <x v="0"/>
  </r>
  <r>
    <x v="20"/>
    <n v="90"/>
    <n v="85"/>
    <n v="83"/>
    <n v="88.5"/>
    <x v="0"/>
    <x v="2"/>
    <x v="2"/>
    <x v="1"/>
  </r>
  <r>
    <x v="21"/>
    <n v="83"/>
    <n v="92"/>
    <n v="86"/>
    <n v="90.7"/>
    <x v="1"/>
    <x v="0"/>
    <x v="0"/>
    <x v="2"/>
  </r>
  <r>
    <x v="22"/>
    <n v="96"/>
    <n v="89"/>
    <n v="91"/>
    <n v="96.4"/>
    <x v="0"/>
    <x v="1"/>
    <x v="1"/>
    <x v="0"/>
  </r>
  <r>
    <x v="23"/>
    <n v="87"/>
    <n v="94"/>
    <n v="88"/>
    <n v="93.2"/>
    <x v="1"/>
    <x v="3"/>
    <x v="2"/>
    <x v="1"/>
  </r>
  <r>
    <x v="24"/>
    <n v="91"/>
    <n v="86"/>
    <n v="93"/>
    <n v="91.5"/>
    <x v="0"/>
    <x v="2"/>
    <x v="0"/>
    <x v="2"/>
  </r>
  <r>
    <x v="25"/>
    <n v="84"/>
    <n v="88"/>
    <n v="82"/>
    <n v="85.9"/>
    <x v="1"/>
    <x v="0"/>
    <x v="1"/>
    <x v="3"/>
  </r>
  <r>
    <x v="26"/>
    <n v="98"/>
    <n v="97"/>
    <n v="96"/>
    <n v="99.1"/>
    <x v="0"/>
    <x v="1"/>
    <x v="2"/>
    <x v="0"/>
  </r>
  <r>
    <x v="27"/>
    <n v="89"/>
    <n v="83"/>
    <n v="85"/>
    <n v="87.6"/>
    <x v="1"/>
    <x v="2"/>
    <x v="0"/>
    <x v="1"/>
  </r>
  <r>
    <x v="28"/>
    <n v="93"/>
    <n v="91"/>
    <n v="90"/>
    <n v="94.3"/>
    <x v="0"/>
    <x v="3"/>
    <x v="1"/>
    <x v="2"/>
  </r>
  <r>
    <x v="29"/>
    <n v="86"/>
    <n v="90"/>
    <n v="88"/>
    <n v="89.8"/>
    <x v="1"/>
    <x v="0"/>
    <x v="2"/>
    <x v="0"/>
  </r>
  <r>
    <x v="30"/>
    <n v="95"/>
    <n v="93"/>
    <n v="89"/>
    <n v="97.5"/>
    <x v="0"/>
    <x v="1"/>
    <x v="0"/>
    <x v="1"/>
  </r>
  <r>
    <x v="31"/>
    <n v="82"/>
    <n v="86"/>
    <n v="84"/>
    <n v="83.7"/>
    <x v="1"/>
    <x v="2"/>
    <x v="1"/>
    <x v="2"/>
  </r>
  <r>
    <x v="32"/>
    <n v="90"/>
    <n v="95"/>
    <n v="92"/>
    <n v="95.1"/>
    <x v="0"/>
    <x v="0"/>
    <x v="2"/>
    <x v="0"/>
  </r>
  <r>
    <x v="33"/>
    <n v="88"/>
    <n v="81"/>
    <n v="87"/>
    <n v="86.4"/>
    <x v="1"/>
    <x v="3"/>
    <x v="0"/>
    <x v="3"/>
  </r>
  <r>
    <x v="34"/>
    <n v="97"/>
    <n v="90"/>
    <n v="94"/>
    <n v="98.4"/>
    <x v="0"/>
    <x v="2"/>
    <x v="1"/>
    <x v="1"/>
  </r>
  <r>
    <x v="35"/>
    <n v="85"/>
    <n v="87"/>
    <n v="91"/>
    <n v="90.2"/>
    <x v="1"/>
    <x v="1"/>
    <x v="2"/>
    <x v="0"/>
  </r>
  <r>
    <x v="36"/>
    <n v="92"/>
    <n v="94"/>
    <n v="88"/>
    <n v="93.8"/>
    <x v="0"/>
    <x v="0"/>
    <x v="0"/>
    <x v="2"/>
  </r>
  <r>
    <x v="37"/>
    <n v="83"/>
    <n v="89"/>
    <n v="85"/>
    <n v="84.9"/>
    <x v="1"/>
    <x v="3"/>
    <x v="1"/>
    <x v="1"/>
  </r>
  <r>
    <x v="38"/>
    <n v="96"/>
    <n v="92"/>
    <n v="93"/>
    <n v="97.3"/>
    <x v="0"/>
    <x v="1"/>
    <x v="2"/>
    <x v="0"/>
  </r>
  <r>
    <x v="39"/>
    <n v="89"/>
    <n v="85"/>
    <n v="90"/>
    <n v="91.1"/>
    <x v="1"/>
    <x v="2"/>
    <x v="0"/>
    <x v="2"/>
  </r>
  <r>
    <x v="40"/>
    <n v="94"/>
    <n v="96"/>
    <n v="91"/>
    <n v="95.8"/>
    <x v="0"/>
    <x v="0"/>
    <x v="1"/>
    <x v="1"/>
  </r>
  <r>
    <x v="41"/>
    <n v="81"/>
    <n v="84"/>
    <n v="83"/>
    <n v="82.6"/>
    <x v="1"/>
    <x v="3"/>
    <x v="2"/>
    <x v="3"/>
  </r>
  <r>
    <x v="42"/>
    <n v="91"/>
    <n v="89"/>
    <n v="95"/>
    <n v="94.7"/>
    <x v="0"/>
    <x v="1"/>
    <x v="0"/>
    <x v="0"/>
  </r>
  <r>
    <x v="43"/>
    <n v="87"/>
    <n v="93"/>
    <n v="86"/>
    <n v="90.5"/>
    <x v="1"/>
    <x v="2"/>
    <x v="1"/>
    <x v="2"/>
  </r>
  <r>
    <x v="44"/>
    <n v="98"/>
    <n v="91"/>
    <n v="97"/>
    <n v="98.7"/>
    <x v="0"/>
    <x v="0"/>
    <x v="2"/>
    <x v="1"/>
  </r>
  <r>
    <x v="45"/>
    <n v="84"/>
    <n v="88"/>
    <n v="90"/>
    <n v="87.3"/>
    <x v="1"/>
    <x v="1"/>
    <x v="0"/>
    <x v="0"/>
  </r>
  <r>
    <x v="46"/>
    <n v="93"/>
    <n v="95"/>
    <n v="89"/>
    <n v="96.2"/>
    <x v="0"/>
    <x v="2"/>
    <x v="1"/>
    <x v="2"/>
  </r>
  <r>
    <x v="47"/>
    <n v="86"/>
    <n v="82"/>
    <n v="88"/>
    <n v="85.4"/>
    <x v="1"/>
    <x v="3"/>
    <x v="2"/>
    <x v="1"/>
  </r>
  <r>
    <x v="48"/>
    <n v="95"/>
    <n v="90"/>
    <n v="94"/>
    <n v="97.6"/>
    <x v="0"/>
    <x v="0"/>
    <x v="0"/>
    <x v="0"/>
  </r>
  <r>
    <x v="49"/>
    <n v="88"/>
    <n v="87"/>
    <n v="92"/>
    <n v="92.1"/>
    <x v="1"/>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D00209-27F3-4085-AC8F-F6134EE66550}"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65:E68" firstHeaderRow="0" firstDataRow="1" firstDataCol="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dataField="1" showAll="0"/>
    <pivotField dataField="1" showAll="0"/>
    <pivotField dataField="1" showAll="0"/>
    <pivotField axis="axisRow" showAll="0">
      <items count="3">
        <item x="1"/>
        <item x="0"/>
        <item t="default"/>
      </items>
    </pivotField>
    <pivotField showAll="0">
      <items count="5">
        <item x="0"/>
        <item x="1"/>
        <item x="2"/>
        <item x="3"/>
        <item t="default"/>
      </items>
    </pivotField>
    <pivotField showAll="0">
      <items count="4">
        <item x="0"/>
        <item x="1"/>
        <item x="2"/>
        <item t="default"/>
      </items>
    </pivotField>
    <pivotField showAll="0">
      <items count="5">
        <item x="2"/>
        <item x="1"/>
        <item x="3"/>
        <item x="0"/>
        <item t="default"/>
      </items>
    </pivotField>
  </pivotFields>
  <rowFields count="1">
    <field x="5"/>
  </rowFields>
  <rowItems count="3">
    <i>
      <x/>
    </i>
    <i>
      <x v="1"/>
    </i>
    <i t="grand">
      <x/>
    </i>
  </rowItems>
  <colFields count="1">
    <field x="-2"/>
  </colFields>
  <colItems count="4">
    <i>
      <x/>
    </i>
    <i i="1">
      <x v="1"/>
    </i>
    <i i="2">
      <x v="2"/>
    </i>
    <i i="3">
      <x v="3"/>
    </i>
  </colItems>
  <dataFields count="4">
    <dataField name="math score" fld="1" subtotal="average" baseField="6" baseItem="0"/>
    <dataField name="science score" fld="2" subtotal="average" baseField="6" baseItem="0"/>
    <dataField name="english score" fld="3" subtotal="average" baseField="6" baseItem="0"/>
    <dataField name="Average attendance %" fld="4" subtotal="average" baseField="5" baseItem="0"/>
  </dataFields>
  <chartFormats count="14">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1" format="2" series="1">
      <pivotArea type="data" outline="0" fieldPosition="0">
        <references count="1">
          <reference field="4294967294" count="1" selected="0">
            <x v="2"/>
          </reference>
        </references>
      </pivotArea>
    </chartFormat>
    <chartFormat chart="54" format="6" series="1">
      <pivotArea type="data" outline="0" fieldPosition="0">
        <references count="1">
          <reference field="4294967294" count="1" selected="0">
            <x v="0"/>
          </reference>
        </references>
      </pivotArea>
    </chartFormat>
    <chartFormat chart="54" format="7" series="1">
      <pivotArea type="data" outline="0" fieldPosition="0">
        <references count="1">
          <reference field="4294967294" count="1" selected="0">
            <x v="1"/>
          </reference>
        </references>
      </pivotArea>
    </chartFormat>
    <chartFormat chart="54" format="8" series="1">
      <pivotArea type="data" outline="0" fieldPosition="0">
        <references count="1">
          <reference field="4294967294" count="1" selected="0">
            <x v="2"/>
          </reference>
        </references>
      </pivotArea>
    </chartFormat>
    <chartFormat chart="58"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1"/>
          </reference>
        </references>
      </pivotArea>
    </chartFormat>
    <chartFormat chart="58" format="2" series="1">
      <pivotArea type="data" outline="0" fieldPosition="0">
        <references count="1">
          <reference field="4294967294" count="1" selected="0">
            <x v="2"/>
          </reference>
        </references>
      </pivotArea>
    </chartFormat>
    <chartFormat chart="58" format="3" series="1">
      <pivotArea type="data" outline="0" fieldPosition="0">
        <references count="1">
          <reference field="4294967294" count="1" selected="0">
            <x v="3"/>
          </reference>
        </references>
      </pivotArea>
    </chartFormat>
    <chartFormat chart="61" format="8" series="1">
      <pivotArea type="data" outline="0" fieldPosition="0">
        <references count="1">
          <reference field="4294967294" count="1" selected="0">
            <x v="0"/>
          </reference>
        </references>
      </pivotArea>
    </chartFormat>
    <chartFormat chart="61" format="9" series="1">
      <pivotArea type="data" outline="0" fieldPosition="0">
        <references count="1">
          <reference field="4294967294" count="1" selected="0">
            <x v="1"/>
          </reference>
        </references>
      </pivotArea>
    </chartFormat>
    <chartFormat chart="61" format="10" series="1">
      <pivotArea type="data" outline="0" fieldPosition="0">
        <references count="1">
          <reference field="4294967294" count="1" selected="0">
            <x v="2"/>
          </reference>
        </references>
      </pivotArea>
    </chartFormat>
    <chartFormat chart="61"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6B4180-C346-40FF-9EB6-1C980912A3D3}"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52:D57" firstHeaderRow="0" firstDataRow="1" firstDataCol="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dataField="1" showAll="0"/>
    <pivotField dataField="1" showAll="0"/>
    <pivotField showAll="0"/>
    <pivotField showAll="0">
      <items count="3">
        <item x="1"/>
        <item x="0"/>
        <item t="default"/>
      </items>
    </pivotField>
    <pivotField axis="axisRow" showAll="0">
      <items count="5">
        <item x="0"/>
        <item x="1"/>
        <item x="2"/>
        <item x="3"/>
        <item t="default"/>
      </items>
    </pivotField>
    <pivotField showAll="0">
      <items count="4">
        <item x="0"/>
        <item x="1"/>
        <item x="2"/>
        <item t="default"/>
      </items>
    </pivotField>
    <pivotField showAll="0">
      <items count="5">
        <item x="2"/>
        <item x="1"/>
        <item x="3"/>
        <item x="0"/>
        <item t="default"/>
      </items>
    </pivotField>
  </pivotFields>
  <rowFields count="1">
    <field x="6"/>
  </rowFields>
  <rowItems count="5">
    <i>
      <x/>
    </i>
    <i>
      <x v="1"/>
    </i>
    <i>
      <x v="2"/>
    </i>
    <i>
      <x v="3"/>
    </i>
    <i t="grand">
      <x/>
    </i>
  </rowItems>
  <colFields count="1">
    <field x="-2"/>
  </colFields>
  <colItems count="3">
    <i>
      <x/>
    </i>
    <i i="1">
      <x v="1"/>
    </i>
    <i i="2">
      <x v="2"/>
    </i>
  </colItems>
  <dataFields count="3">
    <dataField name="math score" fld="1" subtotal="average" baseField="6" baseItem="0"/>
    <dataField name="science score" fld="2" subtotal="average" baseField="6" baseItem="0"/>
    <dataField name="english score" fld="3" subtotal="average" baseField="6" baseItem="0"/>
  </dataFields>
  <chartFormats count="6">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1" format="2" series="1">
      <pivotArea type="data" outline="0" fieldPosition="0">
        <references count="1">
          <reference field="4294967294" count="1" selected="0">
            <x v="2"/>
          </reference>
        </references>
      </pivotArea>
    </chartFormat>
    <chartFormat chart="54" format="6" series="1">
      <pivotArea type="data" outline="0" fieldPosition="0">
        <references count="1">
          <reference field="4294967294" count="1" selected="0">
            <x v="0"/>
          </reference>
        </references>
      </pivotArea>
    </chartFormat>
    <chartFormat chart="54" format="7" series="1">
      <pivotArea type="data" outline="0" fieldPosition="0">
        <references count="1">
          <reference field="4294967294" count="1" selected="0">
            <x v="1"/>
          </reference>
        </references>
      </pivotArea>
    </chartFormat>
    <chartFormat chart="5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D221C9-8180-4143-95EA-5685A1EE6B69}"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43:B48" firstHeaderRow="1" firstDataRow="1" firstDataCol="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items count="3">
        <item x="1"/>
        <item x="0"/>
        <item t="default"/>
      </items>
    </pivotField>
    <pivotField showAll="0">
      <items count="5">
        <item x="0"/>
        <item x="1"/>
        <item x="2"/>
        <item x="3"/>
        <item t="default"/>
      </items>
    </pivotField>
    <pivotField showAll="0">
      <items count="4">
        <item x="0"/>
        <item x="1"/>
        <item x="2"/>
        <item t="default"/>
      </items>
    </pivotField>
    <pivotField axis="axisRow" showAll="0">
      <items count="5">
        <item x="2"/>
        <item x="1"/>
        <item x="3"/>
        <item x="0"/>
        <item t="default"/>
      </items>
    </pivotField>
  </pivotFields>
  <rowFields count="1">
    <field x="8"/>
  </rowFields>
  <rowItems count="5">
    <i>
      <x/>
    </i>
    <i>
      <x v="1"/>
    </i>
    <i>
      <x v="2"/>
    </i>
    <i>
      <x v="3"/>
    </i>
    <i t="grand">
      <x/>
    </i>
  </rowItems>
  <colItems count="1">
    <i/>
  </colItems>
  <dataFields count="1">
    <dataField name="Average of attendance_percent" fld="4" subtotal="average" baseField="0" baseItem="0" numFmtId="2"/>
  </dataFields>
  <chartFormats count="9">
    <chartFormat chart="4"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FB3002-F5CC-4EAA-AB12-C74CB0F2A4FF}"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5:B40" firstHeaderRow="1" firstDataRow="1" firstDataCol="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items count="3">
        <item x="1"/>
        <item x="0"/>
        <item t="default"/>
      </items>
    </pivotField>
    <pivotField showAll="0">
      <items count="5">
        <item x="0"/>
        <item x="1"/>
        <item x="2"/>
        <item x="3"/>
        <item t="default"/>
      </items>
    </pivotField>
    <pivotField showAll="0">
      <items count="4">
        <item x="0"/>
        <item x="1"/>
        <item x="2"/>
        <item t="default"/>
      </items>
    </pivotField>
    <pivotField axis="axisRow" showAll="0">
      <items count="5">
        <item x="2"/>
        <item x="1"/>
        <item x="3"/>
        <item x="0"/>
        <item t="default"/>
      </items>
    </pivotField>
  </pivotFields>
  <rowFields count="1">
    <field x="8"/>
  </rowFields>
  <rowItems count="5">
    <i>
      <x/>
    </i>
    <i>
      <x v="1"/>
    </i>
    <i>
      <x v="2"/>
    </i>
    <i>
      <x v="3"/>
    </i>
    <i t="grand">
      <x/>
    </i>
  </rowItems>
  <colItems count="1">
    <i/>
  </colItems>
  <dataFields count="1">
    <dataField name="Average of attendance_percent" fld="4" subtotal="average" baseField="0" baseItem="0" numFmtId="2"/>
  </dataFields>
  <chartFormats count="6">
    <chartFormat chart="4"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229581-F24A-4FC3-8739-80CF12F39C1F}"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27:B32" firstHeaderRow="1" firstDataRow="1" firstDataCol="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items count="3">
        <item x="1"/>
        <item x="0"/>
        <item t="default"/>
      </items>
    </pivotField>
    <pivotField axis="axisRow" showAll="0">
      <items count="5">
        <item x="0"/>
        <item x="1"/>
        <item x="2"/>
        <item x="3"/>
        <item t="default"/>
      </items>
    </pivotField>
    <pivotField showAll="0">
      <items count="4">
        <item x="0"/>
        <item x="1"/>
        <item x="2"/>
        <item t="default"/>
      </items>
    </pivotField>
    <pivotField showAll="0">
      <items count="5">
        <item x="2"/>
        <item x="1"/>
        <item x="3"/>
        <item x="0"/>
        <item t="default"/>
      </items>
    </pivotField>
  </pivotFields>
  <rowFields count="1">
    <field x="6"/>
  </rowFields>
  <rowItems count="5">
    <i>
      <x/>
    </i>
    <i>
      <x v="1"/>
    </i>
    <i>
      <x v="2"/>
    </i>
    <i>
      <x v="3"/>
    </i>
    <i t="grand">
      <x/>
    </i>
  </rowItems>
  <colItems count="1">
    <i/>
  </colItems>
  <dataFields count="1">
    <dataField name="Average of attendance_percent" fld="4" subtotal="average" baseField="0" baseItem="0" numFmtId="2"/>
  </dataFields>
  <chartFormats count="4">
    <chartFormat chart="4"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CD3F10-E919-45B0-8B31-D1411A32CE6D}"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1:B24" firstHeaderRow="1" firstDataRow="1" firstDataCol="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axis="axisRow" showAll="0">
      <items count="3">
        <item x="1"/>
        <item x="0"/>
        <item t="default"/>
      </items>
    </pivotField>
    <pivotField showAll="0">
      <items count="5">
        <item x="0"/>
        <item x="1"/>
        <item x="2"/>
        <item x="3"/>
        <item t="default"/>
      </items>
    </pivotField>
    <pivotField showAll="0">
      <items count="4">
        <item x="0"/>
        <item x="1"/>
        <item x="2"/>
        <item t="default"/>
      </items>
    </pivotField>
    <pivotField showAll="0">
      <items count="5">
        <item x="2"/>
        <item x="1"/>
        <item x="3"/>
        <item x="0"/>
        <item t="default"/>
      </items>
    </pivotField>
  </pivotFields>
  <rowFields count="1">
    <field x="5"/>
  </rowFields>
  <rowItems count="3">
    <i>
      <x/>
    </i>
    <i>
      <x v="1"/>
    </i>
    <i t="grand">
      <x/>
    </i>
  </rowItems>
  <colItems count="1">
    <i/>
  </colItems>
  <dataFields count="1">
    <dataField name="Average of attendance_percent" fld="4" subtotal="average" baseField="0" baseItem="0" numFmtId="2"/>
  </dataFields>
  <chartFormats count="4">
    <chartFormat chart="4"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5" count="1" selected="0">
            <x v="0"/>
          </reference>
        </references>
      </pivotArea>
    </chartFormat>
    <chartFormat chart="2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A02D83-F018-488E-8E0A-FE6FE37EA564}"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items count="3">
        <item x="1"/>
        <item x="0"/>
        <item t="default"/>
      </items>
    </pivotField>
    <pivotField showAll="0">
      <items count="5">
        <item x="0"/>
        <item x="1"/>
        <item x="2"/>
        <item x="3"/>
        <item t="default"/>
      </items>
    </pivotField>
    <pivotField showAll="0">
      <items count="4">
        <item x="0"/>
        <item x="1"/>
        <item x="2"/>
        <item t="default"/>
      </items>
    </pivotField>
    <pivotField showAll="0">
      <items count="5">
        <item x="2"/>
        <item x="1"/>
        <item x="3"/>
        <item x="0"/>
        <item t="default"/>
      </items>
    </pivotField>
  </pivotFields>
  <rowItems count="1">
    <i/>
  </rowItems>
  <colItems count="1">
    <i/>
  </colItems>
  <dataFields count="1">
    <dataField name="Average of attendance_percent"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82D4A6-9CBC-4C97-AF0B-0C6585D85E9C}"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dataField="1" showAll="0"/>
    <pivotField showAll="0"/>
    <pivotField showAll="0">
      <items count="3">
        <item x="1"/>
        <item x="0"/>
        <item t="default"/>
      </items>
    </pivotField>
    <pivotField showAll="0">
      <items count="5">
        <item x="0"/>
        <item x="1"/>
        <item x="2"/>
        <item x="3"/>
        <item t="default"/>
      </items>
    </pivotField>
    <pivotField showAll="0">
      <items count="4">
        <item x="0"/>
        <item x="1"/>
        <item x="2"/>
        <item t="default"/>
      </items>
    </pivotField>
    <pivotField showAll="0">
      <items count="5">
        <item x="2"/>
        <item x="1"/>
        <item x="3"/>
        <item x="0"/>
        <item t="default"/>
      </items>
    </pivotField>
  </pivotFields>
  <rowItems count="1">
    <i/>
  </rowItems>
  <colItems count="1">
    <i/>
  </colItems>
  <dataFields count="1">
    <dataField name="Average of english_score" fld="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04ECC8-47B4-4414-B30C-4CDF16A52DF2}"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pivotField showAll="0">
      <items count="3">
        <item x="1"/>
        <item x="0"/>
        <item t="default"/>
      </items>
    </pivotField>
    <pivotField showAll="0">
      <items count="5">
        <item x="0"/>
        <item x="1"/>
        <item x="2"/>
        <item x="3"/>
        <item t="default"/>
      </items>
    </pivotField>
    <pivotField showAll="0">
      <items count="4">
        <item x="0"/>
        <item x="1"/>
        <item x="2"/>
        <item t="default"/>
      </items>
    </pivotField>
    <pivotField showAll="0">
      <items count="5">
        <item x="2"/>
        <item x="1"/>
        <item x="3"/>
        <item x="0"/>
        <item t="default"/>
      </items>
    </pivotField>
  </pivotFields>
  <rowItems count="1">
    <i/>
  </rowItems>
  <colItems count="1">
    <i/>
  </colItems>
  <dataFields count="1">
    <dataField name="Average of math_score" fld="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0BE033-87A2-422F-BE17-E2B0DF2497FD}"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dataField="1" showAll="0"/>
    <pivotField showAll="0"/>
    <pivotField showAll="0"/>
    <pivotField showAll="0">
      <items count="3">
        <item x="1"/>
        <item x="0"/>
        <item t="default"/>
      </items>
    </pivotField>
    <pivotField showAll="0">
      <items count="5">
        <item x="0"/>
        <item x="1"/>
        <item x="2"/>
        <item x="3"/>
        <item t="default"/>
      </items>
    </pivotField>
    <pivotField showAll="0">
      <items count="4">
        <item x="0"/>
        <item x="1"/>
        <item x="2"/>
        <item t="default"/>
      </items>
    </pivotField>
    <pivotField showAll="0">
      <items count="5">
        <item x="2"/>
        <item x="1"/>
        <item x="3"/>
        <item x="0"/>
        <item t="default"/>
      </items>
    </pivotField>
  </pivotFields>
  <rowItems count="1">
    <i/>
  </rowItems>
  <colItems count="1">
    <i/>
  </colItems>
  <dataFields count="1">
    <dataField name="Average of science_score" fld="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B296F6-75D4-489E-8066-CDA903DE685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items count="3">
        <item x="1"/>
        <item x="0"/>
        <item t="default"/>
      </items>
    </pivotField>
    <pivotField showAll="0">
      <items count="5">
        <item x="0"/>
        <item x="1"/>
        <item x="2"/>
        <item x="3"/>
        <item t="default"/>
      </items>
    </pivotField>
    <pivotField showAll="0">
      <items count="4">
        <item x="0"/>
        <item x="1"/>
        <item x="2"/>
        <item t="default"/>
      </items>
    </pivotField>
    <pivotField showAll="0">
      <items count="5">
        <item x="2"/>
        <item x="1"/>
        <item x="3"/>
        <item x="0"/>
        <item t="default"/>
      </items>
    </pivotField>
  </pivotFields>
  <rowItems count="1">
    <i/>
  </rowItems>
  <colItems count="1">
    <i/>
  </colItems>
  <dataFields count="1">
    <dataField name="student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88F553-EA82-4A28-9ADB-CC1ED768CF2A}" sourceName="gend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80738437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_level" xr10:uid="{2771270E-ED3E-4C0C-9452-34073F936732}" sourceName="grade_level">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80738437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group" xr10:uid="{E74820A5-CA39-497E-BBE8-9754677873FF}" sourceName="study_group">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80738437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_curricular" xr10:uid="{FB37423E-1F41-4CA5-A2D3-4DA501130EBB}" sourceName="extra_curricula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80738437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1A02AE2-F896-49F8-A645-13F66FB40CD8}" cache="Slicer_gender" caption="gender" rowHeight="234950"/>
  <slicer name="grade_level" xr10:uid="{D3D264FE-6391-418D-B9B1-EA0A007FF28E}" cache="Slicer_grade_level" caption="grade_level" rowHeight="234950"/>
  <slicer name="study_group" xr10:uid="{CFF1134A-8C59-4ED6-8FE0-07DB00E70977}" cache="Slicer_study_group" caption="study_group" rowHeight="234950"/>
  <slicer name="extra_curricular" xr10:uid="{5D8BDDCD-7813-4A35-BCB0-01D17E4F18DA}" cache="Slicer_extra_curricular" caption="extra_curricul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654D745-70ED-4772-BCF8-1448A3EFD640}" cache="Slicer_gender" caption="Gender" style="SlicerStyleDark5" rowHeight="234950"/>
  <slicer name="grade_level 1" xr10:uid="{66695BAA-E822-47F4-A910-8B507AD95EC3}" cache="Slicer_grade_level" caption="grade_level" style="SlicerStyleDark5" rowHeight="234950"/>
  <slicer name="study_group 1" xr10:uid="{553676BB-121C-4B17-BDA9-5B4D4B6C3B18}" cache="Slicer_study_group" caption="study_group" style="SlicerStyleDark5" rowHeight="234950"/>
  <slicer name="extra_curricular 1" xr10:uid="{8BCA8624-1CB5-4BD4-BB2F-8DCE56B8D713}" cache="Slicer_extra_curricular" caption="extra_curricular"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5F9164-8D3F-4136-B63B-4F489EA29E40}" name="student_records" displayName="student_records" ref="A1:I51" totalsRowShown="0">
  <autoFilter ref="A1:I51" xr:uid="{3A5F9164-8D3F-4136-B63B-4F489EA29E40}"/>
  <tableColumns count="9">
    <tableColumn id="1" xr3:uid="{8912147A-2825-489C-A9F3-FD3223C148E2}" name="student_id"/>
    <tableColumn id="2" xr3:uid="{6006ADBB-C618-4E6B-94F4-4A8640F58BFF}" name="math_score"/>
    <tableColumn id="3" xr3:uid="{A2BF06B7-A637-489C-BF93-40F5E4DE50C7}" name="science_score"/>
    <tableColumn id="4" xr3:uid="{D6BA3A64-A538-4CA5-98D3-9058D6ACC194}" name="english_score"/>
    <tableColumn id="5" xr3:uid="{0E740E31-E188-4A15-A426-A61F577DF13A}" name="attendance_percent"/>
    <tableColumn id="6" xr3:uid="{6315B00C-C78C-45B5-AB96-C9D98821EF07}" name="gender"/>
    <tableColumn id="7" xr3:uid="{A115ADC0-3EDB-4701-BCB1-CB8E381FB40A}" name="grade_level"/>
    <tableColumn id="8" xr3:uid="{8E255AB1-D49D-4F38-B279-2717C3400909}" name="study_group"/>
    <tableColumn id="9" xr3:uid="{06C331E3-BB65-457D-B14B-BD1131449B59}" name="extra_curricul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B1493-7F38-4169-9A36-D5B863F2FAAD}">
  <dimension ref="A1:I51"/>
  <sheetViews>
    <sheetView topLeftCell="A2" zoomScale="50" zoomScaleNormal="100" workbookViewId="0">
      <selection sqref="A1:I51"/>
    </sheetView>
  </sheetViews>
  <sheetFormatPr defaultRowHeight="14.4" x14ac:dyDescent="0.3"/>
  <cols>
    <col min="1" max="1" width="11.88671875" customWidth="1"/>
    <col min="2" max="2" width="12.77734375" customWidth="1"/>
    <col min="3" max="3" width="14.44140625" customWidth="1"/>
    <col min="4" max="4" width="14.21875" customWidth="1"/>
    <col min="5" max="5" width="19.88671875" customWidth="1"/>
    <col min="6" max="6" width="8.77734375" customWidth="1"/>
    <col min="7" max="7" width="12.5546875" customWidth="1"/>
    <col min="8" max="8" width="13.5546875" customWidth="1"/>
    <col min="9" max="9" width="16" customWidth="1"/>
  </cols>
  <sheetData>
    <row r="1" spans="1:9" x14ac:dyDescent="0.3">
      <c r="A1" t="s">
        <v>0</v>
      </c>
      <c r="B1" t="s">
        <v>1</v>
      </c>
      <c r="C1" t="s">
        <v>2</v>
      </c>
      <c r="D1" t="s">
        <v>3</v>
      </c>
      <c r="E1" t="s">
        <v>4</v>
      </c>
      <c r="F1" t="s">
        <v>5</v>
      </c>
      <c r="G1" t="s">
        <v>6</v>
      </c>
      <c r="H1" t="s">
        <v>7</v>
      </c>
      <c r="I1" t="s">
        <v>8</v>
      </c>
    </row>
    <row r="2" spans="1:9" x14ac:dyDescent="0.3">
      <c r="A2" t="s">
        <v>9</v>
      </c>
      <c r="B2">
        <v>92</v>
      </c>
      <c r="C2">
        <v>88</v>
      </c>
      <c r="D2">
        <v>85</v>
      </c>
      <c r="E2">
        <v>94.5</v>
      </c>
      <c r="F2" t="s">
        <v>10</v>
      </c>
      <c r="G2" t="s">
        <v>11</v>
      </c>
      <c r="H2" t="s">
        <v>12</v>
      </c>
      <c r="I2" t="s">
        <v>13</v>
      </c>
    </row>
    <row r="3" spans="1:9" x14ac:dyDescent="0.3">
      <c r="A3" t="s">
        <v>14</v>
      </c>
      <c r="B3">
        <v>85</v>
      </c>
      <c r="C3">
        <v>91</v>
      </c>
      <c r="D3">
        <v>89</v>
      </c>
      <c r="E3">
        <v>91.2</v>
      </c>
      <c r="F3" t="s">
        <v>15</v>
      </c>
      <c r="G3" t="s">
        <v>16</v>
      </c>
      <c r="H3" t="s">
        <v>17</v>
      </c>
      <c r="I3" t="s">
        <v>18</v>
      </c>
    </row>
    <row r="4" spans="1:9" x14ac:dyDescent="0.3">
      <c r="A4" t="s">
        <v>19</v>
      </c>
      <c r="B4">
        <v>96</v>
      </c>
      <c r="C4">
        <v>94</v>
      </c>
      <c r="D4">
        <v>92</v>
      </c>
      <c r="E4">
        <v>97.8</v>
      </c>
      <c r="F4" t="s">
        <v>10</v>
      </c>
      <c r="G4" t="s">
        <v>20</v>
      </c>
      <c r="H4" t="s">
        <v>21</v>
      </c>
      <c r="I4" t="s">
        <v>22</v>
      </c>
    </row>
    <row r="5" spans="1:9" x14ac:dyDescent="0.3">
      <c r="A5" t="s">
        <v>23</v>
      </c>
      <c r="B5">
        <v>88</v>
      </c>
      <c r="C5">
        <v>86</v>
      </c>
      <c r="D5">
        <v>90</v>
      </c>
      <c r="E5">
        <v>89.6</v>
      </c>
      <c r="F5" t="s">
        <v>15</v>
      </c>
      <c r="G5" t="s">
        <v>24</v>
      </c>
      <c r="H5" t="s">
        <v>12</v>
      </c>
      <c r="I5" t="s">
        <v>13</v>
      </c>
    </row>
    <row r="6" spans="1:9" x14ac:dyDescent="0.3">
      <c r="A6" t="s">
        <v>25</v>
      </c>
      <c r="B6">
        <v>91</v>
      </c>
      <c r="C6">
        <v>93</v>
      </c>
      <c r="D6">
        <v>87</v>
      </c>
      <c r="E6">
        <v>95.4</v>
      </c>
      <c r="F6" t="s">
        <v>10</v>
      </c>
      <c r="G6" t="s">
        <v>11</v>
      </c>
      <c r="H6" t="s">
        <v>17</v>
      </c>
      <c r="I6" t="s">
        <v>18</v>
      </c>
    </row>
    <row r="7" spans="1:9" x14ac:dyDescent="0.3">
      <c r="A7" t="s">
        <v>26</v>
      </c>
      <c r="B7">
        <v>84</v>
      </c>
      <c r="C7">
        <v>89</v>
      </c>
      <c r="D7">
        <v>86</v>
      </c>
      <c r="E7">
        <v>88.7</v>
      </c>
      <c r="F7" t="s">
        <v>15</v>
      </c>
      <c r="G7" t="s">
        <v>16</v>
      </c>
      <c r="H7" t="s">
        <v>21</v>
      </c>
      <c r="I7" t="s">
        <v>22</v>
      </c>
    </row>
    <row r="8" spans="1:9" x14ac:dyDescent="0.3">
      <c r="A8" t="s">
        <v>27</v>
      </c>
      <c r="B8">
        <v>98</v>
      </c>
      <c r="C8">
        <v>95</v>
      </c>
      <c r="D8">
        <v>94</v>
      </c>
      <c r="E8">
        <v>98.2</v>
      </c>
      <c r="F8" t="s">
        <v>10</v>
      </c>
      <c r="G8" t="s">
        <v>20</v>
      </c>
      <c r="H8" t="s">
        <v>12</v>
      </c>
      <c r="I8" t="s">
        <v>13</v>
      </c>
    </row>
    <row r="9" spans="1:9" x14ac:dyDescent="0.3">
      <c r="A9" t="s">
        <v>28</v>
      </c>
      <c r="B9">
        <v>87</v>
      </c>
      <c r="C9">
        <v>82</v>
      </c>
      <c r="D9">
        <v>85</v>
      </c>
      <c r="E9">
        <v>86.9</v>
      </c>
      <c r="F9" t="s">
        <v>15</v>
      </c>
      <c r="G9" t="s">
        <v>11</v>
      </c>
      <c r="H9" t="s">
        <v>17</v>
      </c>
      <c r="I9" t="s">
        <v>29</v>
      </c>
    </row>
    <row r="10" spans="1:9" x14ac:dyDescent="0.3">
      <c r="A10" t="s">
        <v>30</v>
      </c>
      <c r="B10">
        <v>93</v>
      </c>
      <c r="C10">
        <v>90</v>
      </c>
      <c r="D10">
        <v>88</v>
      </c>
      <c r="E10">
        <v>92.6</v>
      </c>
      <c r="F10" t="s">
        <v>10</v>
      </c>
      <c r="G10" t="s">
        <v>16</v>
      </c>
      <c r="H10" t="s">
        <v>21</v>
      </c>
      <c r="I10" t="s">
        <v>18</v>
      </c>
    </row>
    <row r="11" spans="1:9" x14ac:dyDescent="0.3">
      <c r="A11" t="s">
        <v>31</v>
      </c>
      <c r="B11">
        <v>89</v>
      </c>
      <c r="C11">
        <v>85</v>
      </c>
      <c r="D11">
        <v>91</v>
      </c>
      <c r="E11">
        <v>90.3</v>
      </c>
      <c r="F11" t="s">
        <v>15</v>
      </c>
      <c r="G11" t="s">
        <v>20</v>
      </c>
      <c r="H11" t="s">
        <v>12</v>
      </c>
      <c r="I11" t="s">
        <v>22</v>
      </c>
    </row>
    <row r="12" spans="1:9" x14ac:dyDescent="0.3">
      <c r="A12" t="s">
        <v>32</v>
      </c>
      <c r="B12">
        <v>95</v>
      </c>
      <c r="C12">
        <v>97</v>
      </c>
      <c r="D12">
        <v>93</v>
      </c>
      <c r="E12">
        <v>96.7</v>
      </c>
      <c r="F12" t="s">
        <v>10</v>
      </c>
      <c r="G12" t="s">
        <v>24</v>
      </c>
      <c r="H12" t="s">
        <v>17</v>
      </c>
      <c r="I12" t="s">
        <v>13</v>
      </c>
    </row>
    <row r="13" spans="1:9" x14ac:dyDescent="0.3">
      <c r="A13" t="s">
        <v>33</v>
      </c>
      <c r="B13">
        <v>82</v>
      </c>
      <c r="C13">
        <v>84</v>
      </c>
      <c r="D13">
        <v>80</v>
      </c>
      <c r="E13">
        <v>85.5</v>
      </c>
      <c r="F13" t="s">
        <v>15</v>
      </c>
      <c r="G13" t="s">
        <v>11</v>
      </c>
      <c r="H13" t="s">
        <v>21</v>
      </c>
      <c r="I13" t="s">
        <v>29</v>
      </c>
    </row>
    <row r="14" spans="1:9" x14ac:dyDescent="0.3">
      <c r="A14" t="s">
        <v>34</v>
      </c>
      <c r="B14">
        <v>90</v>
      </c>
      <c r="C14">
        <v>88</v>
      </c>
      <c r="D14">
        <v>92</v>
      </c>
      <c r="E14">
        <v>93.1</v>
      </c>
      <c r="F14" t="s">
        <v>10</v>
      </c>
      <c r="G14" t="s">
        <v>16</v>
      </c>
      <c r="H14" t="s">
        <v>12</v>
      </c>
      <c r="I14" t="s">
        <v>18</v>
      </c>
    </row>
    <row r="15" spans="1:9" x14ac:dyDescent="0.3">
      <c r="A15" t="s">
        <v>35</v>
      </c>
      <c r="B15">
        <v>86</v>
      </c>
      <c r="C15">
        <v>91</v>
      </c>
      <c r="D15">
        <v>84</v>
      </c>
      <c r="E15">
        <v>87.8</v>
      </c>
      <c r="F15" t="s">
        <v>15</v>
      </c>
      <c r="G15" t="s">
        <v>20</v>
      </c>
      <c r="H15" t="s">
        <v>17</v>
      </c>
      <c r="I15" t="s">
        <v>13</v>
      </c>
    </row>
    <row r="16" spans="1:9" x14ac:dyDescent="0.3">
      <c r="A16" t="s">
        <v>36</v>
      </c>
      <c r="B16">
        <v>94</v>
      </c>
      <c r="C16">
        <v>89</v>
      </c>
      <c r="D16">
        <v>95</v>
      </c>
      <c r="E16">
        <v>94.9</v>
      </c>
      <c r="F16" t="s">
        <v>10</v>
      </c>
      <c r="G16" t="s">
        <v>11</v>
      </c>
      <c r="H16" t="s">
        <v>21</v>
      </c>
      <c r="I16" t="s">
        <v>22</v>
      </c>
    </row>
    <row r="17" spans="1:9" x14ac:dyDescent="0.3">
      <c r="A17" t="s">
        <v>37</v>
      </c>
      <c r="B17">
        <v>81</v>
      </c>
      <c r="C17">
        <v>83</v>
      </c>
      <c r="D17">
        <v>87</v>
      </c>
      <c r="E17">
        <v>84.6</v>
      </c>
      <c r="F17" t="s">
        <v>15</v>
      </c>
      <c r="G17" t="s">
        <v>24</v>
      </c>
      <c r="H17" t="s">
        <v>12</v>
      </c>
      <c r="I17" t="s">
        <v>18</v>
      </c>
    </row>
    <row r="18" spans="1:9" x14ac:dyDescent="0.3">
      <c r="A18" t="s">
        <v>38</v>
      </c>
      <c r="B18">
        <v>97</v>
      </c>
      <c r="C18">
        <v>92</v>
      </c>
      <c r="D18">
        <v>90</v>
      </c>
      <c r="E18">
        <v>97.1</v>
      </c>
      <c r="F18" t="s">
        <v>10</v>
      </c>
      <c r="G18" t="s">
        <v>16</v>
      </c>
      <c r="H18" t="s">
        <v>17</v>
      </c>
      <c r="I18" t="s">
        <v>13</v>
      </c>
    </row>
    <row r="19" spans="1:9" x14ac:dyDescent="0.3">
      <c r="A19" t="s">
        <v>39</v>
      </c>
      <c r="B19">
        <v>88</v>
      </c>
      <c r="C19">
        <v>87</v>
      </c>
      <c r="D19">
        <v>89</v>
      </c>
      <c r="E19">
        <v>91.8</v>
      </c>
      <c r="F19" t="s">
        <v>15</v>
      </c>
      <c r="G19" t="s">
        <v>20</v>
      </c>
      <c r="H19" t="s">
        <v>21</v>
      </c>
      <c r="I19" t="s">
        <v>22</v>
      </c>
    </row>
    <row r="20" spans="1:9" x14ac:dyDescent="0.3">
      <c r="A20" t="s">
        <v>40</v>
      </c>
      <c r="B20">
        <v>92</v>
      </c>
      <c r="C20">
        <v>96</v>
      </c>
      <c r="D20">
        <v>94</v>
      </c>
      <c r="E20">
        <v>95.6</v>
      </c>
      <c r="F20" t="s">
        <v>10</v>
      </c>
      <c r="G20" t="s">
        <v>11</v>
      </c>
      <c r="H20" t="s">
        <v>12</v>
      </c>
      <c r="I20" t="s">
        <v>29</v>
      </c>
    </row>
    <row r="21" spans="1:9" x14ac:dyDescent="0.3">
      <c r="A21" t="s">
        <v>41</v>
      </c>
      <c r="B21">
        <v>85</v>
      </c>
      <c r="C21">
        <v>90</v>
      </c>
      <c r="D21">
        <v>88</v>
      </c>
      <c r="E21">
        <v>89.4</v>
      </c>
      <c r="F21" t="s">
        <v>15</v>
      </c>
      <c r="G21" t="s">
        <v>16</v>
      </c>
      <c r="H21" t="s">
        <v>17</v>
      </c>
      <c r="I21" t="s">
        <v>13</v>
      </c>
    </row>
    <row r="22" spans="1:9" x14ac:dyDescent="0.3">
      <c r="A22" t="s">
        <v>42</v>
      </c>
      <c r="B22">
        <v>90</v>
      </c>
      <c r="C22">
        <v>85</v>
      </c>
      <c r="D22">
        <v>83</v>
      </c>
      <c r="E22">
        <v>88.5</v>
      </c>
      <c r="F22" t="s">
        <v>10</v>
      </c>
      <c r="G22" t="s">
        <v>20</v>
      </c>
      <c r="H22" t="s">
        <v>21</v>
      </c>
      <c r="I22" t="s">
        <v>18</v>
      </c>
    </row>
    <row r="23" spans="1:9" x14ac:dyDescent="0.3">
      <c r="A23" t="s">
        <v>43</v>
      </c>
      <c r="B23">
        <v>83</v>
      </c>
      <c r="C23">
        <v>92</v>
      </c>
      <c r="D23">
        <v>86</v>
      </c>
      <c r="E23">
        <v>90.7</v>
      </c>
      <c r="F23" t="s">
        <v>15</v>
      </c>
      <c r="G23" t="s">
        <v>11</v>
      </c>
      <c r="H23" t="s">
        <v>12</v>
      </c>
      <c r="I23" t="s">
        <v>22</v>
      </c>
    </row>
    <row r="24" spans="1:9" x14ac:dyDescent="0.3">
      <c r="A24" t="s">
        <v>44</v>
      </c>
      <c r="B24">
        <v>96</v>
      </c>
      <c r="C24">
        <v>89</v>
      </c>
      <c r="D24">
        <v>91</v>
      </c>
      <c r="E24">
        <v>96.4</v>
      </c>
      <c r="F24" t="s">
        <v>10</v>
      </c>
      <c r="G24" t="s">
        <v>16</v>
      </c>
      <c r="H24" t="s">
        <v>17</v>
      </c>
      <c r="I24" t="s">
        <v>13</v>
      </c>
    </row>
    <row r="25" spans="1:9" x14ac:dyDescent="0.3">
      <c r="A25" t="s">
        <v>45</v>
      </c>
      <c r="B25">
        <v>87</v>
      </c>
      <c r="C25">
        <v>94</v>
      </c>
      <c r="D25">
        <v>88</v>
      </c>
      <c r="E25">
        <v>93.2</v>
      </c>
      <c r="F25" t="s">
        <v>15</v>
      </c>
      <c r="G25" t="s">
        <v>24</v>
      </c>
      <c r="H25" t="s">
        <v>21</v>
      </c>
      <c r="I25" t="s">
        <v>18</v>
      </c>
    </row>
    <row r="26" spans="1:9" x14ac:dyDescent="0.3">
      <c r="A26" t="s">
        <v>46</v>
      </c>
      <c r="B26">
        <v>91</v>
      </c>
      <c r="C26">
        <v>86</v>
      </c>
      <c r="D26">
        <v>93</v>
      </c>
      <c r="E26">
        <v>91.5</v>
      </c>
      <c r="F26" t="s">
        <v>10</v>
      </c>
      <c r="G26" t="s">
        <v>20</v>
      </c>
      <c r="H26" t="s">
        <v>12</v>
      </c>
      <c r="I26" t="s">
        <v>22</v>
      </c>
    </row>
    <row r="27" spans="1:9" x14ac:dyDescent="0.3">
      <c r="A27" t="s">
        <v>47</v>
      </c>
      <c r="B27">
        <v>84</v>
      </c>
      <c r="C27">
        <v>88</v>
      </c>
      <c r="D27">
        <v>82</v>
      </c>
      <c r="E27">
        <v>85.9</v>
      </c>
      <c r="F27" t="s">
        <v>15</v>
      </c>
      <c r="G27" t="s">
        <v>11</v>
      </c>
      <c r="H27" t="s">
        <v>17</v>
      </c>
      <c r="I27" t="s">
        <v>29</v>
      </c>
    </row>
    <row r="28" spans="1:9" x14ac:dyDescent="0.3">
      <c r="A28" t="s">
        <v>48</v>
      </c>
      <c r="B28">
        <v>98</v>
      </c>
      <c r="C28">
        <v>97</v>
      </c>
      <c r="D28">
        <v>96</v>
      </c>
      <c r="E28">
        <v>99.1</v>
      </c>
      <c r="F28" t="s">
        <v>10</v>
      </c>
      <c r="G28" t="s">
        <v>16</v>
      </c>
      <c r="H28" t="s">
        <v>21</v>
      </c>
      <c r="I28" t="s">
        <v>13</v>
      </c>
    </row>
    <row r="29" spans="1:9" x14ac:dyDescent="0.3">
      <c r="A29" t="s">
        <v>49</v>
      </c>
      <c r="B29">
        <v>89</v>
      </c>
      <c r="C29">
        <v>83</v>
      </c>
      <c r="D29">
        <v>85</v>
      </c>
      <c r="E29">
        <v>87.6</v>
      </c>
      <c r="F29" t="s">
        <v>15</v>
      </c>
      <c r="G29" t="s">
        <v>20</v>
      </c>
      <c r="H29" t="s">
        <v>12</v>
      </c>
      <c r="I29" t="s">
        <v>18</v>
      </c>
    </row>
    <row r="30" spans="1:9" x14ac:dyDescent="0.3">
      <c r="A30" t="s">
        <v>50</v>
      </c>
      <c r="B30">
        <v>93</v>
      </c>
      <c r="C30">
        <v>91</v>
      </c>
      <c r="D30">
        <v>90</v>
      </c>
      <c r="E30">
        <v>94.3</v>
      </c>
      <c r="F30" t="s">
        <v>10</v>
      </c>
      <c r="G30" t="s">
        <v>24</v>
      </c>
      <c r="H30" t="s">
        <v>17</v>
      </c>
      <c r="I30" t="s">
        <v>22</v>
      </c>
    </row>
    <row r="31" spans="1:9" x14ac:dyDescent="0.3">
      <c r="A31" t="s">
        <v>51</v>
      </c>
      <c r="B31">
        <v>86</v>
      </c>
      <c r="C31">
        <v>90</v>
      </c>
      <c r="D31">
        <v>88</v>
      </c>
      <c r="E31">
        <v>89.8</v>
      </c>
      <c r="F31" t="s">
        <v>15</v>
      </c>
      <c r="G31" t="s">
        <v>11</v>
      </c>
      <c r="H31" t="s">
        <v>21</v>
      </c>
      <c r="I31" t="s">
        <v>13</v>
      </c>
    </row>
    <row r="32" spans="1:9" x14ac:dyDescent="0.3">
      <c r="A32" t="s">
        <v>52</v>
      </c>
      <c r="B32">
        <v>95</v>
      </c>
      <c r="C32">
        <v>93</v>
      </c>
      <c r="D32">
        <v>89</v>
      </c>
      <c r="E32">
        <v>97.5</v>
      </c>
      <c r="F32" t="s">
        <v>10</v>
      </c>
      <c r="G32" t="s">
        <v>16</v>
      </c>
      <c r="H32" t="s">
        <v>12</v>
      </c>
      <c r="I32" t="s">
        <v>18</v>
      </c>
    </row>
    <row r="33" spans="1:9" x14ac:dyDescent="0.3">
      <c r="A33" t="s">
        <v>53</v>
      </c>
      <c r="B33">
        <v>82</v>
      </c>
      <c r="C33">
        <v>86</v>
      </c>
      <c r="D33">
        <v>84</v>
      </c>
      <c r="E33">
        <v>83.7</v>
      </c>
      <c r="F33" t="s">
        <v>15</v>
      </c>
      <c r="G33" t="s">
        <v>20</v>
      </c>
      <c r="H33" t="s">
        <v>17</v>
      </c>
      <c r="I33" t="s">
        <v>22</v>
      </c>
    </row>
    <row r="34" spans="1:9" x14ac:dyDescent="0.3">
      <c r="A34" t="s">
        <v>54</v>
      </c>
      <c r="B34">
        <v>90</v>
      </c>
      <c r="C34">
        <v>95</v>
      </c>
      <c r="D34">
        <v>92</v>
      </c>
      <c r="E34">
        <v>95.1</v>
      </c>
      <c r="F34" t="s">
        <v>10</v>
      </c>
      <c r="G34" t="s">
        <v>11</v>
      </c>
      <c r="H34" t="s">
        <v>21</v>
      </c>
      <c r="I34" t="s">
        <v>13</v>
      </c>
    </row>
    <row r="35" spans="1:9" x14ac:dyDescent="0.3">
      <c r="A35" t="s">
        <v>55</v>
      </c>
      <c r="B35">
        <v>88</v>
      </c>
      <c r="C35">
        <v>81</v>
      </c>
      <c r="D35">
        <v>87</v>
      </c>
      <c r="E35">
        <v>86.4</v>
      </c>
      <c r="F35" t="s">
        <v>15</v>
      </c>
      <c r="G35" t="s">
        <v>24</v>
      </c>
      <c r="H35" t="s">
        <v>12</v>
      </c>
      <c r="I35" t="s">
        <v>29</v>
      </c>
    </row>
    <row r="36" spans="1:9" x14ac:dyDescent="0.3">
      <c r="A36" t="s">
        <v>56</v>
      </c>
      <c r="B36">
        <v>97</v>
      </c>
      <c r="C36">
        <v>90</v>
      </c>
      <c r="D36">
        <v>94</v>
      </c>
      <c r="E36">
        <v>98.4</v>
      </c>
      <c r="F36" t="s">
        <v>10</v>
      </c>
      <c r="G36" t="s">
        <v>20</v>
      </c>
      <c r="H36" t="s">
        <v>17</v>
      </c>
      <c r="I36" t="s">
        <v>18</v>
      </c>
    </row>
    <row r="37" spans="1:9" x14ac:dyDescent="0.3">
      <c r="A37" t="s">
        <v>57</v>
      </c>
      <c r="B37">
        <v>85</v>
      </c>
      <c r="C37">
        <v>87</v>
      </c>
      <c r="D37">
        <v>91</v>
      </c>
      <c r="E37">
        <v>90.2</v>
      </c>
      <c r="F37" t="s">
        <v>15</v>
      </c>
      <c r="G37" t="s">
        <v>16</v>
      </c>
      <c r="H37" t="s">
        <v>21</v>
      </c>
      <c r="I37" t="s">
        <v>13</v>
      </c>
    </row>
    <row r="38" spans="1:9" x14ac:dyDescent="0.3">
      <c r="A38" t="s">
        <v>58</v>
      </c>
      <c r="B38">
        <v>92</v>
      </c>
      <c r="C38">
        <v>94</v>
      </c>
      <c r="D38">
        <v>88</v>
      </c>
      <c r="E38">
        <v>93.8</v>
      </c>
      <c r="F38" t="s">
        <v>10</v>
      </c>
      <c r="G38" t="s">
        <v>11</v>
      </c>
      <c r="H38" t="s">
        <v>12</v>
      </c>
      <c r="I38" t="s">
        <v>22</v>
      </c>
    </row>
    <row r="39" spans="1:9" x14ac:dyDescent="0.3">
      <c r="A39" t="s">
        <v>59</v>
      </c>
      <c r="B39">
        <v>83</v>
      </c>
      <c r="C39">
        <v>89</v>
      </c>
      <c r="D39">
        <v>85</v>
      </c>
      <c r="E39">
        <v>84.9</v>
      </c>
      <c r="F39" t="s">
        <v>15</v>
      </c>
      <c r="G39" t="s">
        <v>24</v>
      </c>
      <c r="H39" t="s">
        <v>17</v>
      </c>
      <c r="I39" t="s">
        <v>18</v>
      </c>
    </row>
    <row r="40" spans="1:9" x14ac:dyDescent="0.3">
      <c r="A40" t="s">
        <v>60</v>
      </c>
      <c r="B40">
        <v>96</v>
      </c>
      <c r="C40">
        <v>92</v>
      </c>
      <c r="D40">
        <v>93</v>
      </c>
      <c r="E40">
        <v>97.3</v>
      </c>
      <c r="F40" t="s">
        <v>10</v>
      </c>
      <c r="G40" t="s">
        <v>16</v>
      </c>
      <c r="H40" t="s">
        <v>21</v>
      </c>
      <c r="I40" t="s">
        <v>13</v>
      </c>
    </row>
    <row r="41" spans="1:9" x14ac:dyDescent="0.3">
      <c r="A41" t="s">
        <v>61</v>
      </c>
      <c r="B41">
        <v>89</v>
      </c>
      <c r="C41">
        <v>85</v>
      </c>
      <c r="D41">
        <v>90</v>
      </c>
      <c r="E41">
        <v>91.1</v>
      </c>
      <c r="F41" t="s">
        <v>15</v>
      </c>
      <c r="G41" t="s">
        <v>20</v>
      </c>
      <c r="H41" t="s">
        <v>12</v>
      </c>
      <c r="I41" t="s">
        <v>22</v>
      </c>
    </row>
    <row r="42" spans="1:9" x14ac:dyDescent="0.3">
      <c r="A42" t="s">
        <v>62</v>
      </c>
      <c r="B42">
        <v>94</v>
      </c>
      <c r="C42">
        <v>96</v>
      </c>
      <c r="D42">
        <v>91</v>
      </c>
      <c r="E42">
        <v>95.8</v>
      </c>
      <c r="F42" t="s">
        <v>10</v>
      </c>
      <c r="G42" t="s">
        <v>11</v>
      </c>
      <c r="H42" t="s">
        <v>17</v>
      </c>
      <c r="I42" t="s">
        <v>18</v>
      </c>
    </row>
    <row r="43" spans="1:9" x14ac:dyDescent="0.3">
      <c r="A43" t="s">
        <v>63</v>
      </c>
      <c r="B43">
        <v>81</v>
      </c>
      <c r="C43">
        <v>84</v>
      </c>
      <c r="D43">
        <v>83</v>
      </c>
      <c r="E43">
        <v>82.6</v>
      </c>
      <c r="F43" t="s">
        <v>15</v>
      </c>
      <c r="G43" t="s">
        <v>24</v>
      </c>
      <c r="H43" t="s">
        <v>21</v>
      </c>
      <c r="I43" t="s">
        <v>29</v>
      </c>
    </row>
    <row r="44" spans="1:9" x14ac:dyDescent="0.3">
      <c r="A44" t="s">
        <v>64</v>
      </c>
      <c r="B44">
        <v>91</v>
      </c>
      <c r="C44">
        <v>89</v>
      </c>
      <c r="D44">
        <v>95</v>
      </c>
      <c r="E44">
        <v>94.7</v>
      </c>
      <c r="F44" t="s">
        <v>10</v>
      </c>
      <c r="G44" t="s">
        <v>16</v>
      </c>
      <c r="H44" t="s">
        <v>12</v>
      </c>
      <c r="I44" t="s">
        <v>13</v>
      </c>
    </row>
    <row r="45" spans="1:9" x14ac:dyDescent="0.3">
      <c r="A45" t="s">
        <v>65</v>
      </c>
      <c r="B45">
        <v>87</v>
      </c>
      <c r="C45">
        <v>93</v>
      </c>
      <c r="D45">
        <v>86</v>
      </c>
      <c r="E45">
        <v>90.5</v>
      </c>
      <c r="F45" t="s">
        <v>15</v>
      </c>
      <c r="G45" t="s">
        <v>20</v>
      </c>
      <c r="H45" t="s">
        <v>17</v>
      </c>
      <c r="I45" t="s">
        <v>22</v>
      </c>
    </row>
    <row r="46" spans="1:9" x14ac:dyDescent="0.3">
      <c r="A46" t="s">
        <v>66</v>
      </c>
      <c r="B46">
        <v>98</v>
      </c>
      <c r="C46">
        <v>91</v>
      </c>
      <c r="D46">
        <v>97</v>
      </c>
      <c r="E46">
        <v>98.7</v>
      </c>
      <c r="F46" t="s">
        <v>10</v>
      </c>
      <c r="G46" t="s">
        <v>11</v>
      </c>
      <c r="H46" t="s">
        <v>21</v>
      </c>
      <c r="I46" t="s">
        <v>18</v>
      </c>
    </row>
    <row r="47" spans="1:9" x14ac:dyDescent="0.3">
      <c r="A47" t="s">
        <v>67</v>
      </c>
      <c r="B47">
        <v>84</v>
      </c>
      <c r="C47">
        <v>88</v>
      </c>
      <c r="D47">
        <v>90</v>
      </c>
      <c r="E47">
        <v>87.3</v>
      </c>
      <c r="F47" t="s">
        <v>15</v>
      </c>
      <c r="G47" t="s">
        <v>16</v>
      </c>
      <c r="H47" t="s">
        <v>12</v>
      </c>
      <c r="I47" t="s">
        <v>13</v>
      </c>
    </row>
    <row r="48" spans="1:9" x14ac:dyDescent="0.3">
      <c r="A48" t="s">
        <v>68</v>
      </c>
      <c r="B48">
        <v>93</v>
      </c>
      <c r="C48">
        <v>95</v>
      </c>
      <c r="D48">
        <v>89</v>
      </c>
      <c r="E48">
        <v>96.2</v>
      </c>
      <c r="F48" t="s">
        <v>10</v>
      </c>
      <c r="G48" t="s">
        <v>20</v>
      </c>
      <c r="H48" t="s">
        <v>17</v>
      </c>
      <c r="I48" t="s">
        <v>22</v>
      </c>
    </row>
    <row r="49" spans="1:9" x14ac:dyDescent="0.3">
      <c r="A49" t="s">
        <v>69</v>
      </c>
      <c r="B49">
        <v>86</v>
      </c>
      <c r="C49">
        <v>82</v>
      </c>
      <c r="D49">
        <v>88</v>
      </c>
      <c r="E49">
        <v>85.4</v>
      </c>
      <c r="F49" t="s">
        <v>15</v>
      </c>
      <c r="G49" t="s">
        <v>24</v>
      </c>
      <c r="H49" t="s">
        <v>21</v>
      </c>
      <c r="I49" t="s">
        <v>18</v>
      </c>
    </row>
    <row r="50" spans="1:9" x14ac:dyDescent="0.3">
      <c r="A50" t="s">
        <v>70</v>
      </c>
      <c r="B50">
        <v>95</v>
      </c>
      <c r="C50">
        <v>90</v>
      </c>
      <c r="D50">
        <v>94</v>
      </c>
      <c r="E50">
        <v>97.6</v>
      </c>
      <c r="F50" t="s">
        <v>10</v>
      </c>
      <c r="G50" t="s">
        <v>11</v>
      </c>
      <c r="H50" t="s">
        <v>12</v>
      </c>
      <c r="I50" t="s">
        <v>13</v>
      </c>
    </row>
    <row r="51" spans="1:9" x14ac:dyDescent="0.3">
      <c r="A51" t="s">
        <v>71</v>
      </c>
      <c r="B51">
        <v>88</v>
      </c>
      <c r="C51">
        <v>87</v>
      </c>
      <c r="D51">
        <v>92</v>
      </c>
      <c r="E51">
        <v>92.1</v>
      </c>
      <c r="F51" t="s">
        <v>15</v>
      </c>
      <c r="G51" t="s">
        <v>16</v>
      </c>
      <c r="H51" t="s">
        <v>17</v>
      </c>
      <c r="I5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BBFF-BFAA-45CF-9F2A-0ABB8BD099B7}">
  <dimension ref="A3:E68"/>
  <sheetViews>
    <sheetView topLeftCell="A21" zoomScale="69" workbookViewId="0">
      <selection activeCell="B48" sqref="A43:B48"/>
    </sheetView>
  </sheetViews>
  <sheetFormatPr defaultRowHeight="14.4" x14ac:dyDescent="0.3"/>
  <cols>
    <col min="1" max="1" width="14.109375" bestFit="1" customWidth="1"/>
    <col min="2" max="2" width="10.88671875" bestFit="1" customWidth="1"/>
    <col min="3" max="3" width="12.5546875" bestFit="1" customWidth="1"/>
    <col min="4" max="4" width="12.33203125" bestFit="1" customWidth="1"/>
    <col min="5" max="5" width="21" bestFit="1" customWidth="1"/>
  </cols>
  <sheetData>
    <row r="3" spans="1:1" x14ac:dyDescent="0.3">
      <c r="A3" t="s">
        <v>74</v>
      </c>
    </row>
    <row r="4" spans="1:1" x14ac:dyDescent="0.3">
      <c r="A4" s="3">
        <v>50</v>
      </c>
    </row>
    <row r="7" spans="1:1" x14ac:dyDescent="0.3">
      <c r="A7" s="3"/>
    </row>
    <row r="8" spans="1:1" x14ac:dyDescent="0.3">
      <c r="A8" t="s">
        <v>75</v>
      </c>
    </row>
    <row r="9" spans="1:1" x14ac:dyDescent="0.3">
      <c r="A9" s="5">
        <v>89.44</v>
      </c>
    </row>
    <row r="12" spans="1:1" x14ac:dyDescent="0.3">
      <c r="A12" t="s">
        <v>76</v>
      </c>
    </row>
    <row r="13" spans="1:1" x14ac:dyDescent="0.3">
      <c r="A13" s="5">
        <v>89.68</v>
      </c>
    </row>
    <row r="15" spans="1:1" x14ac:dyDescent="0.3">
      <c r="A15" t="s">
        <v>77</v>
      </c>
    </row>
    <row r="16" spans="1:1" x14ac:dyDescent="0.3">
      <c r="A16" s="5">
        <v>89.18</v>
      </c>
    </row>
    <row r="18" spans="1:2" x14ac:dyDescent="0.3">
      <c r="A18" t="s">
        <v>78</v>
      </c>
    </row>
    <row r="19" spans="1:2" x14ac:dyDescent="0.3">
      <c r="A19" s="5">
        <v>91.96</v>
      </c>
    </row>
    <row r="21" spans="1:2" x14ac:dyDescent="0.3">
      <c r="A21" s="1" t="s">
        <v>72</v>
      </c>
      <c r="B21" t="s">
        <v>78</v>
      </c>
    </row>
    <row r="22" spans="1:2" x14ac:dyDescent="0.3">
      <c r="A22" s="2" t="s">
        <v>15</v>
      </c>
      <c r="B22" s="5">
        <v>88.287999999999997</v>
      </c>
    </row>
    <row r="23" spans="1:2" x14ac:dyDescent="0.3">
      <c r="A23" s="2" t="s">
        <v>10</v>
      </c>
      <c r="B23" s="5">
        <v>95.631999999999977</v>
      </c>
    </row>
    <row r="24" spans="1:2" x14ac:dyDescent="0.3">
      <c r="A24" s="2" t="s">
        <v>73</v>
      </c>
      <c r="B24" s="5">
        <v>91.96</v>
      </c>
    </row>
    <row r="27" spans="1:2" x14ac:dyDescent="0.3">
      <c r="A27" s="1" t="s">
        <v>72</v>
      </c>
      <c r="B27" t="s">
        <v>78</v>
      </c>
    </row>
    <row r="28" spans="1:2" x14ac:dyDescent="0.3">
      <c r="A28" s="2" t="s">
        <v>11</v>
      </c>
      <c r="B28" s="5">
        <v>92.871428571428581</v>
      </c>
    </row>
    <row r="29" spans="1:2" x14ac:dyDescent="0.3">
      <c r="A29" s="2" t="s">
        <v>16</v>
      </c>
      <c r="B29" s="5">
        <v>93.335714285714289</v>
      </c>
    </row>
    <row r="30" spans="1:2" x14ac:dyDescent="0.3">
      <c r="A30" s="2" t="s">
        <v>20</v>
      </c>
      <c r="B30" s="5">
        <v>91.800000000000026</v>
      </c>
    </row>
    <row r="31" spans="1:2" x14ac:dyDescent="0.3">
      <c r="A31" s="2" t="s">
        <v>24</v>
      </c>
      <c r="B31" s="5">
        <v>88.633333333333326</v>
      </c>
    </row>
    <row r="32" spans="1:2" x14ac:dyDescent="0.3">
      <c r="A32" s="2" t="s">
        <v>73</v>
      </c>
      <c r="B32" s="5">
        <v>91.95999999999998</v>
      </c>
    </row>
    <row r="35" spans="1:2" x14ac:dyDescent="0.3">
      <c r="A35" s="1" t="s">
        <v>72</v>
      </c>
      <c r="B35" t="s">
        <v>78</v>
      </c>
    </row>
    <row r="36" spans="1:2" x14ac:dyDescent="0.3">
      <c r="A36" s="2" t="s">
        <v>22</v>
      </c>
      <c r="B36" s="5">
        <v>91.957142857142841</v>
      </c>
    </row>
    <row r="37" spans="1:2" x14ac:dyDescent="0.3">
      <c r="A37" s="2" t="s">
        <v>18</v>
      </c>
      <c r="B37" s="5">
        <v>91.921428571428592</v>
      </c>
    </row>
    <row r="38" spans="1:2" x14ac:dyDescent="0.3">
      <c r="A38" s="2" t="s">
        <v>29</v>
      </c>
      <c r="B38" s="5">
        <v>87.149999999999991</v>
      </c>
    </row>
    <row r="39" spans="1:2" x14ac:dyDescent="0.3">
      <c r="A39" s="2" t="s">
        <v>13</v>
      </c>
      <c r="B39" s="5">
        <v>93.799999999999983</v>
      </c>
    </row>
    <row r="40" spans="1:2" x14ac:dyDescent="0.3">
      <c r="A40" s="2" t="s">
        <v>73</v>
      </c>
      <c r="B40" s="5">
        <v>91.96</v>
      </c>
    </row>
    <row r="43" spans="1:2" x14ac:dyDescent="0.3">
      <c r="A43" s="1" t="s">
        <v>72</v>
      </c>
      <c r="B43" t="s">
        <v>78</v>
      </c>
    </row>
    <row r="44" spans="1:2" x14ac:dyDescent="0.3">
      <c r="A44" s="2" t="s">
        <v>22</v>
      </c>
      <c r="B44" s="5">
        <v>91.957142857142841</v>
      </c>
    </row>
    <row r="45" spans="1:2" x14ac:dyDescent="0.3">
      <c r="A45" s="2" t="s">
        <v>18</v>
      </c>
      <c r="B45" s="5">
        <v>91.921428571428592</v>
      </c>
    </row>
    <row r="46" spans="1:2" x14ac:dyDescent="0.3">
      <c r="A46" s="2" t="s">
        <v>29</v>
      </c>
      <c r="B46" s="5">
        <v>87.149999999999991</v>
      </c>
    </row>
    <row r="47" spans="1:2" x14ac:dyDescent="0.3">
      <c r="A47" s="2" t="s">
        <v>13</v>
      </c>
      <c r="B47" s="5">
        <v>93.799999999999983</v>
      </c>
    </row>
    <row r="48" spans="1:2" x14ac:dyDescent="0.3">
      <c r="A48" s="2" t="s">
        <v>73</v>
      </c>
      <c r="B48" s="5">
        <v>91.96</v>
      </c>
    </row>
    <row r="52" spans="1:4" x14ac:dyDescent="0.3">
      <c r="A52" s="1" t="s">
        <v>72</v>
      </c>
      <c r="B52" t="s">
        <v>79</v>
      </c>
      <c r="C52" t="s">
        <v>80</v>
      </c>
      <c r="D52" t="s">
        <v>81</v>
      </c>
    </row>
    <row r="53" spans="1:4" x14ac:dyDescent="0.3">
      <c r="A53" s="2" t="s">
        <v>11</v>
      </c>
      <c r="B53" s="3">
        <v>90</v>
      </c>
      <c r="C53" s="3">
        <v>90.571428571428569</v>
      </c>
      <c r="D53" s="3">
        <v>88.857142857142861</v>
      </c>
    </row>
    <row r="54" spans="1:4" x14ac:dyDescent="0.3">
      <c r="A54" s="2" t="s">
        <v>16</v>
      </c>
      <c r="B54" s="3">
        <v>90.5</v>
      </c>
      <c r="C54" s="3">
        <v>90.142857142857139</v>
      </c>
      <c r="D54" s="3">
        <v>90.714285714285708</v>
      </c>
    </row>
    <row r="55" spans="1:4" x14ac:dyDescent="0.3">
      <c r="A55" s="2" t="s">
        <v>20</v>
      </c>
      <c r="B55" s="3">
        <v>90.384615384615387</v>
      </c>
      <c r="C55" s="3">
        <v>88.84615384615384</v>
      </c>
      <c r="D55" s="3">
        <v>88.769230769230774</v>
      </c>
    </row>
    <row r="56" spans="1:4" x14ac:dyDescent="0.3">
      <c r="A56" s="2" t="s">
        <v>24</v>
      </c>
      <c r="B56" s="3">
        <v>86.888888888888886</v>
      </c>
      <c r="C56" s="3">
        <v>87.444444444444443</v>
      </c>
      <c r="D56" s="3">
        <v>87.888888888888886</v>
      </c>
    </row>
    <row r="57" spans="1:4" x14ac:dyDescent="0.3">
      <c r="A57" s="2" t="s">
        <v>73</v>
      </c>
      <c r="B57" s="3">
        <v>89.68</v>
      </c>
      <c r="C57" s="3">
        <v>89.44</v>
      </c>
      <c r="D57" s="3">
        <v>89.18</v>
      </c>
    </row>
    <row r="65" spans="1:5" x14ac:dyDescent="0.3">
      <c r="A65" s="1" t="s">
        <v>72</v>
      </c>
      <c r="B65" t="s">
        <v>79</v>
      </c>
      <c r="C65" t="s">
        <v>80</v>
      </c>
      <c r="D65" t="s">
        <v>81</v>
      </c>
      <c r="E65" t="s">
        <v>82</v>
      </c>
    </row>
    <row r="66" spans="1:5" x14ac:dyDescent="0.3">
      <c r="A66" s="2" t="s">
        <v>15</v>
      </c>
      <c r="B66" s="3">
        <v>85.48</v>
      </c>
      <c r="C66" s="3">
        <v>87.08</v>
      </c>
      <c r="D66" s="3">
        <v>86.96</v>
      </c>
      <c r="E66" s="3">
        <v>88.287999999999997</v>
      </c>
    </row>
    <row r="67" spans="1:5" x14ac:dyDescent="0.3">
      <c r="A67" s="2" t="s">
        <v>10</v>
      </c>
      <c r="B67" s="3">
        <v>93.88</v>
      </c>
      <c r="C67" s="3">
        <v>91.8</v>
      </c>
      <c r="D67" s="3">
        <v>91.4</v>
      </c>
      <c r="E67" s="3">
        <v>95.631999999999977</v>
      </c>
    </row>
    <row r="68" spans="1:5" x14ac:dyDescent="0.3">
      <c r="A68" s="2" t="s">
        <v>73</v>
      </c>
      <c r="B68" s="3">
        <v>89.68</v>
      </c>
      <c r="C68" s="3">
        <v>89.44</v>
      </c>
      <c r="D68" s="3">
        <v>89.18</v>
      </c>
      <c r="E68" s="3">
        <v>91.96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E270-6E0C-4620-AA67-099219CA5778}">
  <dimension ref="A1"/>
  <sheetViews>
    <sheetView showGridLines="0" tabSelected="1" zoomScale="75" workbookViewId="0">
      <selection activeCell="Y14" sqref="Y14"/>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student_performance_datasheet</vt:lpstr>
      <vt:lpstr>pivot_tables</vt:lpstr>
      <vt:lpstr>EDA 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mahrana</dc:creator>
  <cp:lastModifiedBy>sanjana mahrana</cp:lastModifiedBy>
  <dcterms:created xsi:type="dcterms:W3CDTF">2026-08-30T05:46:37Z</dcterms:created>
  <dcterms:modified xsi:type="dcterms:W3CDTF">2026-08-30T11:22:23Z</dcterms:modified>
</cp:coreProperties>
</file>